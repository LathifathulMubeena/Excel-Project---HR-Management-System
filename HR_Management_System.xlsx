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👥 Employee Data" sheetId="2" state="visible" r:id="rId4"/>
    <sheet name="📋 Recruitment" sheetId="3" state="visible" r:id="rId5"/>
    <sheet name="⭐ Performance" sheetId="4" state="visible" r:id="rId6"/>
    <sheet name="💰 Payroll" sheetId="5" state="visible" r:id="rId7"/>
    <sheet name="📈 Forecast" sheetId="6" state="visible" r:id="rId8"/>
    <sheet name="🎓 Train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<sst xmlns="http://schemas.openxmlformats.org/spreadsheetml/2006/main" count="1501" uniqueCount="544">
  <si>
    <t xml:space="preserve">🏢  HR ANALYTICS DASHBOARD</t>
  </si>
  <si>
    <t xml:space="preserve">👥 TOTAL EMPLOYEES</t>
  </si>
  <si>
    <t xml:space="preserve">📈 AVG SALARY ($)</t>
  </si>
  <si>
    <t xml:space="preserve">🔄 TURNOVER RATE</t>
  </si>
  <si>
    <t xml:space="preserve">📅 AVG TENURE (Yrs)</t>
  </si>
  <si>
    <t xml:space="preserve">  📊 HEADCOUNT BY DEPARTMENT</t>
  </si>
  <si>
    <t xml:space="preserve">  🎂 WORKFORCE AGE DISTRIBUTION</t>
  </si>
  <si>
    <t xml:space="preserve">Engineering</t>
  </si>
  <si>
    <t xml:space="preserve">20–29</t>
  </si>
  <si>
    <t xml:space="preserve">Sales</t>
  </si>
  <si>
    <t xml:space="preserve">30–39</t>
  </si>
  <si>
    <t xml:space="preserve">HR</t>
  </si>
  <si>
    <t xml:space="preserve">40–49</t>
  </si>
  <si>
    <t xml:space="preserve">Finance</t>
  </si>
  <si>
    <t xml:space="preserve">50–59</t>
  </si>
  <si>
    <t xml:space="preserve">Marketing</t>
  </si>
  <si>
    <t xml:space="preserve">60+</t>
  </si>
  <si>
    <t xml:space="preserve">Operations</t>
  </si>
  <si>
    <t xml:space="preserve">Legal</t>
  </si>
  <si>
    <t xml:space="preserve">IT</t>
  </si>
  <si>
    <t xml:space="preserve">  💰 SALARY BAND ANALYSIS BY DEPARTMENT</t>
  </si>
  <si>
    <t xml:space="preserve">  ⭐ PERFORMANCE SCORE DISTRIBUTION</t>
  </si>
  <si>
    <t xml:space="preserve">Department</t>
  </si>
  <si>
    <t xml:space="preserve">Min Salary</t>
  </si>
  <si>
    <t xml:space="preserve">Avg Salary</t>
  </si>
  <si>
    <t xml:space="preserve">Max Salary</t>
  </si>
  <si>
    <t xml:space="preserve">Headcount</t>
  </si>
  <si>
    <t xml:space="preserve">Rating</t>
  </si>
  <si>
    <t xml:space="preserve">Count</t>
  </si>
  <si>
    <t xml:space="preserve">% of Total</t>
  </si>
  <si>
    <t xml:space="preserve">Outstanding (5)</t>
  </si>
  <si>
    <t xml:space="preserve">Exceeds (4)</t>
  </si>
  <si>
    <t xml:space="preserve">Meets (3)</t>
  </si>
  <si>
    <t xml:space="preserve">Below (2)</t>
  </si>
  <si>
    <t xml:space="preserve">Unsatisfactory (1)</t>
  </si>
  <si>
    <t xml:space="preserve">👥  EMPLOYEE MASTER DATABASE</t>
  </si>
  <si>
    <t xml:space="preserve">Total Employees</t>
  </si>
  <si>
    <t xml:space="preserve">Turnover Rate</t>
  </si>
  <si>
    <t xml:space="preserve">Avg Tenure</t>
  </si>
  <si>
    <t xml:space="preserve">Emp ID</t>
  </si>
  <si>
    <t xml:space="preserve">Full Name</t>
  </si>
  <si>
    <t xml:space="preserve">Job Title</t>
  </si>
  <si>
    <t xml:space="preserve">Location</t>
  </si>
  <si>
    <t xml:space="preserve">Salary ($)</t>
  </si>
  <si>
    <t xml:space="preserve">Age</t>
  </si>
  <si>
    <t xml:space="preserve">Tenure (Yrs)</t>
  </si>
  <si>
    <t xml:space="preserve">Perf Score</t>
  </si>
  <si>
    <t xml:space="preserve">Gender</t>
  </si>
  <si>
    <t xml:space="preserve">Status</t>
  </si>
  <si>
    <t xml:space="preserve">Hire Date</t>
  </si>
  <si>
    <t xml:space="preserve">Last Review</t>
  </si>
  <si>
    <t xml:space="preserve">Manager</t>
  </si>
  <si>
    <t xml:space="preserve">EMP1001</t>
  </si>
  <si>
    <t xml:space="preserve">John Johnson</t>
  </si>
  <si>
    <t xml:space="preserve">Sales Rep</t>
  </si>
  <si>
    <t xml:space="preserve">Chicago</t>
  </si>
  <si>
    <t xml:space="preserve">Male</t>
  </si>
  <si>
    <t xml:space="preserve">Active</t>
  </si>
  <si>
    <t xml:space="preserve">Michael Chen</t>
  </si>
  <si>
    <t xml:space="preserve">EMP1002</t>
  </si>
  <si>
    <t xml:space="preserve">James Carter</t>
  </si>
  <si>
    <t xml:space="preserve">FP&amp;A Manager</t>
  </si>
  <si>
    <t xml:space="preserve">Miami</t>
  </si>
  <si>
    <t xml:space="preserve">Non-Binary</t>
  </si>
  <si>
    <t xml:space="preserve">Emily Davis</t>
  </si>
  <si>
    <t xml:space="preserve">EMP1003</t>
  </si>
  <si>
    <t xml:space="preserve">Thomas Williams</t>
  </si>
  <si>
    <t xml:space="preserve">Process Specialist</t>
  </si>
  <si>
    <t xml:space="preserve">San Francisco</t>
  </si>
  <si>
    <t xml:space="preserve">James Brown</t>
  </si>
  <si>
    <t xml:space="preserve">EMP1004</t>
  </si>
  <si>
    <t xml:space="preserve">Joseph Roberts</t>
  </si>
  <si>
    <t xml:space="preserve">Paralegal</t>
  </si>
  <si>
    <t xml:space="preserve">Female</t>
  </si>
  <si>
    <t xml:space="preserve">Lisa Thompson</t>
  </si>
  <si>
    <t xml:space="preserve">EMP1005</t>
  </si>
  <si>
    <t xml:space="preserve">Melissa Adams</t>
  </si>
  <si>
    <t xml:space="preserve">Financial Analyst</t>
  </si>
  <si>
    <t xml:space="preserve">Austin</t>
  </si>
  <si>
    <t xml:space="preserve">EMP1006</t>
  </si>
  <si>
    <t xml:space="preserve">John Lee</t>
  </si>
  <si>
    <t xml:space="preserve">Senior Analyst</t>
  </si>
  <si>
    <t xml:space="preserve">Boston</t>
  </si>
  <si>
    <t xml:space="preserve">Amanda Wilson</t>
  </si>
  <si>
    <t xml:space="preserve">EMP1007</t>
  </si>
  <si>
    <t xml:space="preserve">Donna Wright</t>
  </si>
  <si>
    <t xml:space="preserve">Account Executive</t>
  </si>
  <si>
    <t xml:space="preserve">EMP1008</t>
  </si>
  <si>
    <t xml:space="preserve">Melissa Ramirez</t>
  </si>
  <si>
    <t xml:space="preserve">Associate GC</t>
  </si>
  <si>
    <t xml:space="preserve">Inactive</t>
  </si>
  <si>
    <t xml:space="preserve">EMP1009</t>
  </si>
  <si>
    <t xml:space="preserve">Karen Roberts</t>
  </si>
  <si>
    <t xml:space="preserve">Legal Analyst</t>
  </si>
  <si>
    <t xml:space="preserve">David Martinez</t>
  </si>
  <si>
    <t xml:space="preserve">EMP1010</t>
  </si>
  <si>
    <t xml:space="preserve">Michael Green</t>
  </si>
  <si>
    <t xml:space="preserve">Brand Manager</t>
  </si>
  <si>
    <t xml:space="preserve">EMP1011</t>
  </si>
  <si>
    <t xml:space="preserve">Patricia White</t>
  </si>
  <si>
    <t xml:space="preserve">Recruiter</t>
  </si>
  <si>
    <t xml:space="preserve">EMP1012</t>
  </si>
  <si>
    <t xml:space="preserve">Brian Walker</t>
  </si>
  <si>
    <t xml:space="preserve">Senior Engineer</t>
  </si>
  <si>
    <t xml:space="preserve">EMP1013</t>
  </si>
  <si>
    <t xml:space="preserve">Sarah Anderson</t>
  </si>
  <si>
    <t xml:space="preserve">Legal Counsel</t>
  </si>
  <si>
    <t xml:space="preserve">Seattle</t>
  </si>
  <si>
    <t xml:space="preserve">EMP1014</t>
  </si>
  <si>
    <t xml:space="preserve">Lisa Jones</t>
  </si>
  <si>
    <t xml:space="preserve">DevOps Engineer</t>
  </si>
  <si>
    <t xml:space="preserve">Robert Kim</t>
  </si>
  <si>
    <t xml:space="preserve">EMP1015</t>
  </si>
  <si>
    <t xml:space="preserve">Michael Miller</t>
  </si>
  <si>
    <t xml:space="preserve">Systems Admin</t>
  </si>
  <si>
    <t xml:space="preserve">EMP1016</t>
  </si>
  <si>
    <t xml:space="preserve">Richard Gonzalez</t>
  </si>
  <si>
    <t xml:space="preserve">Compliance Officer</t>
  </si>
  <si>
    <t xml:space="preserve">EMP1017</t>
  </si>
  <si>
    <t xml:space="preserve">Steven Smith</t>
  </si>
  <si>
    <t xml:space="preserve">EMP1018</t>
  </si>
  <si>
    <t xml:space="preserve">Ashley Jackson</t>
  </si>
  <si>
    <t xml:space="preserve">HRBP</t>
  </si>
  <si>
    <t xml:space="preserve">Denver</t>
  </si>
  <si>
    <t xml:space="preserve">EMP1019</t>
  </si>
  <si>
    <t xml:space="preserve">Donald Allen</t>
  </si>
  <si>
    <t xml:space="preserve">HR Manager</t>
  </si>
  <si>
    <t xml:space="preserve">New York</t>
  </si>
  <si>
    <t xml:space="preserve">EMP1020</t>
  </si>
  <si>
    <t xml:space="preserve">John Flores</t>
  </si>
  <si>
    <t xml:space="preserve">EMP1021</t>
  </si>
  <si>
    <t xml:space="preserve">Ashley Flores</t>
  </si>
  <si>
    <t xml:space="preserve">EMP1022</t>
  </si>
  <si>
    <t xml:space="preserve">Nancy Flores</t>
  </si>
  <si>
    <t xml:space="preserve">Sarah Johnson</t>
  </si>
  <si>
    <t xml:space="preserve">EMP1023</t>
  </si>
  <si>
    <t xml:space="preserve">Jessica Baker</t>
  </si>
  <si>
    <t xml:space="preserve">EMP1024</t>
  </si>
  <si>
    <t xml:space="preserve">Mark Scott</t>
  </si>
  <si>
    <t xml:space="preserve">Marketing Specialist</t>
  </si>
  <si>
    <t xml:space="preserve">EMP1025</t>
  </si>
  <si>
    <t xml:space="preserve">Betty Williams</t>
  </si>
  <si>
    <t xml:space="preserve">EMP1026</t>
  </si>
  <si>
    <t xml:space="preserve">Susan Clark</t>
  </si>
  <si>
    <t xml:space="preserve">EMP1027</t>
  </si>
  <si>
    <t xml:space="preserve">Richard Robinson</t>
  </si>
  <si>
    <t xml:space="preserve">Supply Chain Analyst</t>
  </si>
  <si>
    <t xml:space="preserve">EMP1028</t>
  </si>
  <si>
    <t xml:space="preserve">Margaret Baker</t>
  </si>
  <si>
    <t xml:space="preserve">EMP1029</t>
  </si>
  <si>
    <t xml:space="preserve">Kenneth Allen</t>
  </si>
  <si>
    <t xml:space="preserve">Sales Manager</t>
  </si>
  <si>
    <t xml:space="preserve">EMP1030</t>
  </si>
  <si>
    <t xml:space="preserve">Betty Ramirez</t>
  </si>
  <si>
    <t xml:space="preserve">Finance Manager</t>
  </si>
  <si>
    <t xml:space="preserve">EMP1031</t>
  </si>
  <si>
    <t xml:space="preserve">Anthony Nelson</t>
  </si>
  <si>
    <t xml:space="preserve">Operations Analyst</t>
  </si>
  <si>
    <t xml:space="preserve">EMP1032</t>
  </si>
  <si>
    <t xml:space="preserve">Melissa Wilson</t>
  </si>
  <si>
    <t xml:space="preserve">EMP1033</t>
  </si>
  <si>
    <t xml:space="preserve">Maria Williams</t>
  </si>
  <si>
    <t xml:space="preserve">EMP1034</t>
  </si>
  <si>
    <t xml:space="preserve">Ronald Roberts</t>
  </si>
  <si>
    <t xml:space="preserve">Regional Director</t>
  </si>
  <si>
    <t xml:space="preserve">EMP1035</t>
  </si>
  <si>
    <t xml:space="preserve">Kenneth Lee</t>
  </si>
  <si>
    <t xml:space="preserve">EMP1036</t>
  </si>
  <si>
    <t xml:space="preserve">Karen Lewis</t>
  </si>
  <si>
    <t xml:space="preserve">EMP1037</t>
  </si>
  <si>
    <t xml:space="preserve">Robert Clark</t>
  </si>
  <si>
    <t xml:space="preserve">EMP1038</t>
  </si>
  <si>
    <t xml:space="preserve">Donald Smith</t>
  </si>
  <si>
    <t xml:space="preserve">IT Manager</t>
  </si>
  <si>
    <t xml:space="preserve">EMP1039</t>
  </si>
  <si>
    <t xml:space="preserve">Lisa Nelson</t>
  </si>
  <si>
    <t xml:space="preserve">EMP1040</t>
  </si>
  <si>
    <t xml:space="preserve">Ashley Lopez</t>
  </si>
  <si>
    <t xml:space="preserve">EMP1041</t>
  </si>
  <si>
    <t xml:space="preserve">Maria Mitchell</t>
  </si>
  <si>
    <t xml:space="preserve">EMP1042</t>
  </si>
  <si>
    <t xml:space="preserve">Donald Nelson</t>
  </si>
  <si>
    <t xml:space="preserve">EMP1043</t>
  </si>
  <si>
    <t xml:space="preserve">Maria Martin</t>
  </si>
  <si>
    <t xml:space="preserve">Network Engineer</t>
  </si>
  <si>
    <t xml:space="preserve">EMP1044</t>
  </si>
  <si>
    <t xml:space="preserve">John Thompson</t>
  </si>
  <si>
    <t xml:space="preserve">EMP1045</t>
  </si>
  <si>
    <t xml:space="preserve">Jennifer Ramirez</t>
  </si>
  <si>
    <t xml:space="preserve">BDR</t>
  </si>
  <si>
    <t xml:space="preserve">EMP1046</t>
  </si>
  <si>
    <t xml:space="preserve">Carol Nelson</t>
  </si>
  <si>
    <t xml:space="preserve">EMP1047</t>
  </si>
  <si>
    <t xml:space="preserve">James King</t>
  </si>
  <si>
    <t xml:space="preserve">Principal Engineer</t>
  </si>
  <si>
    <t xml:space="preserve">EMP1048</t>
  </si>
  <si>
    <t xml:space="preserve">Charles Anderson</t>
  </si>
  <si>
    <t xml:space="preserve">Controller</t>
  </si>
  <si>
    <t xml:space="preserve">EMP1049</t>
  </si>
  <si>
    <t xml:space="preserve">Nancy Taylor</t>
  </si>
  <si>
    <t xml:space="preserve">Growth Manager</t>
  </si>
  <si>
    <t xml:space="preserve">EMP1050</t>
  </si>
  <si>
    <t xml:space="preserve">Ronald King</t>
  </si>
  <si>
    <t xml:space="preserve">📋  RECRUITMENT PIPELINE TRACKER</t>
  </si>
  <si>
    <t xml:space="preserve">Open Positions</t>
  </si>
  <si>
    <t xml:space="preserve">Applications Received</t>
  </si>
  <si>
    <t xml:space="preserve">Interviews Scheduled</t>
  </si>
  <si>
    <t xml:space="preserve">Offers Extended</t>
  </si>
  <si>
    <t xml:space="preserve">Avg Days to Hire</t>
  </si>
  <si>
    <t xml:space="preserve">HIRING FUNNEL:  Applications → Screened → Interviewed → Offers → Hired</t>
  </si>
  <si>
    <t xml:space="preserve">Req ID</t>
  </si>
  <si>
    <t xml:space="preserve">Position Title</t>
  </si>
  <si>
    <t xml:space="preserve">Hiring Manager</t>
  </si>
  <si>
    <t xml:space="preserve">Priority</t>
  </si>
  <si>
    <t xml:space="preserve">Posted Date</t>
  </si>
  <si>
    <t xml:space="preserve">Stage</t>
  </si>
  <si>
    <t xml:space="preserve">Candidate Name</t>
  </si>
  <si>
    <t xml:space="preserve">Candidate Email</t>
  </si>
  <si>
    <t xml:space="preserve">Days Open</t>
  </si>
  <si>
    <t xml:space="preserve">Days to Hire</t>
  </si>
  <si>
    <t xml:space="preserve">REQ2001</t>
  </si>
  <si>
    <t xml:space="preserve">Treasury Analyst</t>
  </si>
  <si>
    <t xml:space="preserve">Open</t>
  </si>
  <si>
    <t xml:space="preserve">Medium</t>
  </si>
  <si>
    <t xml:space="preserve">Phone Screen</t>
  </si>
  <si>
    <t xml:space="preserve">Sarah Rodriguez</t>
  </si>
  <si>
    <t xml:space="preserve">sarah.rodriguez@email.com</t>
  </si>
  <si>
    <t xml:space="preserve">REQ2002</t>
  </si>
  <si>
    <t xml:space="preserve">Systems Engineer</t>
  </si>
  <si>
    <t xml:space="preserve">Closed</t>
  </si>
  <si>
    <t xml:space="preserve">Hired</t>
  </si>
  <si>
    <t xml:space="preserve">Carol Young</t>
  </si>
  <si>
    <t xml:space="preserve">carol.young@email.com</t>
  </si>
  <si>
    <t xml:space="preserve">REQ2003</t>
  </si>
  <si>
    <t xml:space="preserve">Network Admin</t>
  </si>
  <si>
    <t xml:space="preserve">Low</t>
  </si>
  <si>
    <t xml:space="preserve">Panel Interview</t>
  </si>
  <si>
    <t xml:space="preserve">Jennifer Robinson</t>
  </si>
  <si>
    <t xml:space="preserve">jennifer.robinson@email.com</t>
  </si>
  <si>
    <t xml:space="preserve">REQ2004</t>
  </si>
  <si>
    <t xml:space="preserve">HR Business Partner</t>
  </si>
  <si>
    <t xml:space="preserve">Christopher Sanchez</t>
  </si>
  <si>
    <t xml:space="preserve">christopher.sanchez@email.com</t>
  </si>
  <si>
    <t xml:space="preserve">REQ2005</t>
  </si>
  <si>
    <t xml:space="preserve">Growth Marketer</t>
  </si>
  <si>
    <t xml:space="preserve">Technical Interview</t>
  </si>
  <si>
    <t xml:space="preserve">Barbara Robinson</t>
  </si>
  <si>
    <t xml:space="preserve">barbara.robinson@email.com</t>
  </si>
  <si>
    <t xml:space="preserve">REQ2006</t>
  </si>
  <si>
    <t xml:space="preserve">Stephanie Lewis</t>
  </si>
  <si>
    <t xml:space="preserve">stephanie.lewis@email.com</t>
  </si>
  <si>
    <t xml:space="preserve">REQ2007</t>
  </si>
  <si>
    <t xml:space="preserve">High</t>
  </si>
  <si>
    <t xml:space="preserve">Applied</t>
  </si>
  <si>
    <t xml:space="preserve">Donald Baker</t>
  </si>
  <si>
    <t xml:space="preserve">donald.baker@email.com</t>
  </si>
  <si>
    <t xml:space="preserve">REQ2008</t>
  </si>
  <si>
    <t xml:space="preserve">Offer Extended</t>
  </si>
  <si>
    <t xml:space="preserve">Matthew Perez</t>
  </si>
  <si>
    <t xml:space="preserve">matthew.perez@email.com</t>
  </si>
  <si>
    <t xml:space="preserve">REQ2009</t>
  </si>
  <si>
    <t xml:space="preserve">Senior Accountant</t>
  </si>
  <si>
    <t xml:space="preserve">Thomas Wright</t>
  </si>
  <si>
    <t xml:space="preserve">thomas.wright@email.com</t>
  </si>
  <si>
    <t xml:space="preserve">REQ2010</t>
  </si>
  <si>
    <t xml:space="preserve">HRIS Analyst</t>
  </si>
  <si>
    <t xml:space="preserve">Stephanie Martinez</t>
  </si>
  <si>
    <t xml:space="preserve">stephanie.martinez@email.com</t>
  </si>
  <si>
    <t xml:space="preserve">REQ2011</t>
  </si>
  <si>
    <t xml:space="preserve">Senior Software Engineer</t>
  </si>
  <si>
    <t xml:space="preserve">Anthony Martinez</t>
  </si>
  <si>
    <t xml:space="preserve">anthony.martinez@email.com</t>
  </si>
  <si>
    <t xml:space="preserve">REQ2012</t>
  </si>
  <si>
    <t xml:space="preserve">Betty Lopez</t>
  </si>
  <si>
    <t xml:space="preserve">betty.lopez@email.com</t>
  </si>
  <si>
    <t xml:space="preserve">REQ2013</t>
  </si>
  <si>
    <t xml:space="preserve">Jessica Harris</t>
  </si>
  <si>
    <t xml:space="preserve">jessica.harris@email.com</t>
  </si>
  <si>
    <t xml:space="preserve">REQ2014</t>
  </si>
  <si>
    <t xml:space="preserve">Barbara Lopez</t>
  </si>
  <si>
    <t xml:space="preserve">barbara.lopez@email.com</t>
  </si>
  <si>
    <t xml:space="preserve">REQ2015</t>
  </si>
  <si>
    <t xml:space="preserve">Joseph Adams</t>
  </si>
  <si>
    <t xml:space="preserve">joseph.adams@email.com</t>
  </si>
  <si>
    <t xml:space="preserve">REQ2016</t>
  </si>
  <si>
    <t xml:space="preserve">IT Security Analyst</t>
  </si>
  <si>
    <t xml:space="preserve">Rejected</t>
  </si>
  <si>
    <t xml:space="preserve">Matthew Jackson</t>
  </si>
  <si>
    <t xml:space="preserve">matthew.jackson@email.com</t>
  </si>
  <si>
    <t xml:space="preserve">REQ2017</t>
  </si>
  <si>
    <t xml:space="preserve">Melissa Lee</t>
  </si>
  <si>
    <t xml:space="preserve">melissa.lee@email.com</t>
  </si>
  <si>
    <t xml:space="preserve">REQ2018</t>
  </si>
  <si>
    <t xml:space="preserve">SDR</t>
  </si>
  <si>
    <t xml:space="preserve">Carol Hernandez</t>
  </si>
  <si>
    <t xml:space="preserve">carol.hernandez@email.com</t>
  </si>
  <si>
    <t xml:space="preserve">REQ2019</t>
  </si>
  <si>
    <t xml:space="preserve">Daniel Smith</t>
  </si>
  <si>
    <t xml:space="preserve">daniel.smith@email.com</t>
  </si>
  <si>
    <t xml:space="preserve">REQ2020</t>
  </si>
  <si>
    <t xml:space="preserve">Thomas Nelson</t>
  </si>
  <si>
    <t xml:space="preserve">thomas.nelson@email.com</t>
  </si>
  <si>
    <t xml:space="preserve">REQ2021</t>
  </si>
  <si>
    <t xml:space="preserve">Brian Sanchez</t>
  </si>
  <si>
    <t xml:space="preserve">brian.sanchez@email.com</t>
  </si>
  <si>
    <t xml:space="preserve">REQ2022</t>
  </si>
  <si>
    <t xml:space="preserve">Content Strategist</t>
  </si>
  <si>
    <t xml:space="preserve">Paul Lewis</t>
  </si>
  <si>
    <t xml:space="preserve">paul.lewis@email.com</t>
  </si>
  <si>
    <t xml:space="preserve">REQ2023</t>
  </si>
  <si>
    <t xml:space="preserve">Carol Roberts</t>
  </si>
  <si>
    <t xml:space="preserve">carol.roberts@email.com</t>
  </si>
  <si>
    <t xml:space="preserve">REQ2024</t>
  </si>
  <si>
    <t xml:space="preserve">Cloud Architect</t>
  </si>
  <si>
    <t xml:space="preserve">Michelle Williams</t>
  </si>
  <si>
    <t xml:space="preserve">michelle.williams@email.com</t>
  </si>
  <si>
    <t xml:space="preserve">REQ2025</t>
  </si>
  <si>
    <t xml:space="preserve">Compensation Manager</t>
  </si>
  <si>
    <t xml:space="preserve">Charles Gonzalez</t>
  </si>
  <si>
    <t xml:space="preserve">charles.gonzalez@email.com</t>
  </si>
  <si>
    <t xml:space="preserve">REQ2026</t>
  </si>
  <si>
    <t xml:space="preserve">William Lewis</t>
  </si>
  <si>
    <t xml:space="preserve">william.lewis@email.com</t>
  </si>
  <si>
    <t xml:space="preserve">REQ2027</t>
  </si>
  <si>
    <t xml:space="preserve">Ashley Torres</t>
  </si>
  <si>
    <t xml:space="preserve">ashley.torres@email.com</t>
  </si>
  <si>
    <t xml:space="preserve">REQ2028</t>
  </si>
  <si>
    <t xml:space="preserve">Sarah Robinson</t>
  </si>
  <si>
    <t xml:space="preserve">sarah.robinson@email.com</t>
  </si>
  <si>
    <t xml:space="preserve">REQ2029</t>
  </si>
  <si>
    <t xml:space="preserve">Melissa Wright</t>
  </si>
  <si>
    <t xml:space="preserve">melissa.wright@email.com</t>
  </si>
  <si>
    <t xml:space="preserve">REQ2030</t>
  </si>
  <si>
    <t xml:space="preserve">ML Engineer</t>
  </si>
  <si>
    <t xml:space="preserve">Michelle Brown</t>
  </si>
  <si>
    <t xml:space="preserve">michelle.brown@email.com</t>
  </si>
  <si>
    <t xml:space="preserve">⭐  PERFORMANCE REVIEW &amp; GOAL TRACKER</t>
  </si>
  <si>
    <t xml:space="preserve">Employee Name</t>
  </si>
  <si>
    <t xml:space="preserve">Review Period</t>
  </si>
  <si>
    <t xml:space="preserve">Goal 1 Score</t>
  </si>
  <si>
    <t xml:space="preserve">Goal 2 Score</t>
  </si>
  <si>
    <t xml:space="preserve">Goal 3 Score</t>
  </si>
  <si>
    <t xml:space="preserve">Avg Goal Score</t>
  </si>
  <si>
    <t xml:space="preserve">Competency Score</t>
  </si>
  <si>
    <t xml:space="preserve">Overall Rating</t>
  </si>
  <si>
    <t xml:space="preserve">Raise %</t>
  </si>
  <si>
    <t xml:space="preserve">Bonus ($)</t>
  </si>
  <si>
    <t xml:space="preserve">Review Status</t>
  </si>
  <si>
    <t xml:space="preserve">Christopher Gonzalez</t>
  </si>
  <si>
    <t xml:space="preserve">Annual 2024</t>
  </si>
  <si>
    <t xml:space="preserve">In Progress</t>
  </si>
  <si>
    <t xml:space="preserve">Karen Johnson</t>
  </si>
  <si>
    <t xml:space="preserve">Q4 2025</t>
  </si>
  <si>
    <t xml:space="preserve">Pending</t>
  </si>
  <si>
    <t xml:space="preserve">Patricia Garcia</t>
  </si>
  <si>
    <t xml:space="preserve">Q1 2025</t>
  </si>
  <si>
    <t xml:space="preserve">Kenneth Rivera</t>
  </si>
  <si>
    <t xml:space="preserve">Q2 2025</t>
  </si>
  <si>
    <t xml:space="preserve">Completed</t>
  </si>
  <si>
    <t xml:space="preserve">Andrew Robinson</t>
  </si>
  <si>
    <t xml:space="preserve">Q3 2025</t>
  </si>
  <si>
    <t xml:space="preserve">Emily Brown</t>
  </si>
  <si>
    <t xml:space="preserve">Margaret Mitchell</t>
  </si>
  <si>
    <t xml:space="preserve">Ronald Ramirez</t>
  </si>
  <si>
    <t xml:space="preserve">Nancy King</t>
  </si>
  <si>
    <t xml:space="preserve">Jennifer Carter</t>
  </si>
  <si>
    <t xml:space="preserve">Not Started</t>
  </si>
  <si>
    <t xml:space="preserve">Michael Rodriguez</t>
  </si>
  <si>
    <t xml:space="preserve">Brian Allen</t>
  </si>
  <si>
    <t xml:space="preserve">Donald Flores</t>
  </si>
  <si>
    <t xml:space="preserve">Brian Harris</t>
  </si>
  <si>
    <t xml:space="preserve">Charles Garcia</t>
  </si>
  <si>
    <t xml:space="preserve">Thomas Harris</t>
  </si>
  <si>
    <t xml:space="preserve">William White</t>
  </si>
  <si>
    <t xml:space="preserve">Kevin Hall</t>
  </si>
  <si>
    <t xml:space="preserve">Barbara White</t>
  </si>
  <si>
    <t xml:space="preserve">Sandra Smith</t>
  </si>
  <si>
    <t xml:space="preserve">Robert Williams</t>
  </si>
  <si>
    <t xml:space="preserve">Christopher Walker</t>
  </si>
  <si>
    <t xml:space="preserve">Jessica Flores</t>
  </si>
  <si>
    <t xml:space="preserve">Thomas Thompson</t>
  </si>
  <si>
    <t xml:space="preserve">Kimberly Thomas</t>
  </si>
  <si>
    <t xml:space="preserve">Michelle Clark</t>
  </si>
  <si>
    <t xml:space="preserve">Kimberly Harris</t>
  </si>
  <si>
    <t xml:space="preserve">Mark Allen</t>
  </si>
  <si>
    <t xml:space="preserve">Daniel Thompson</t>
  </si>
  <si>
    <t xml:space="preserve">Barbara Nelson</t>
  </si>
  <si>
    <t xml:space="preserve">Joseph Gonzalez</t>
  </si>
  <si>
    <t xml:space="preserve">Maria Brown</t>
  </si>
  <si>
    <t xml:space="preserve">Brian Nelson</t>
  </si>
  <si>
    <t xml:space="preserve">Nancy Brown</t>
  </si>
  <si>
    <t xml:space="preserve">Steven Walker</t>
  </si>
  <si>
    <t xml:space="preserve">Joseph Jackson</t>
  </si>
  <si>
    <t xml:space="preserve">Timothy Mitchell</t>
  </si>
  <si>
    <t xml:space="preserve">Ronald Davis</t>
  </si>
  <si>
    <t xml:space="preserve">💰  PAYROLL &amp; COMPENSATION SUMMARY</t>
  </si>
  <si>
    <t xml:space="preserve">Base Salary</t>
  </si>
  <si>
    <t xml:space="preserve">Federal Tax</t>
  </si>
  <si>
    <t xml:space="preserve">State Tax</t>
  </si>
  <si>
    <t xml:space="preserve">Social Security</t>
  </si>
  <si>
    <t xml:space="preserve">Medicare</t>
  </si>
  <si>
    <t xml:space="preserve">Health Insurance</t>
  </si>
  <si>
    <t xml:space="preserve">Net Pay</t>
  </si>
  <si>
    <t xml:space="preserve">Pay Period</t>
  </si>
  <si>
    <t xml:space="preserve">Pay Date</t>
  </si>
  <si>
    <t xml:space="preserve">Barbara Gonzalez</t>
  </si>
  <si>
    <t xml:space="preserve">Bi-Weekly</t>
  </si>
  <si>
    <t xml:space="preserve">Nancy Garcia</t>
  </si>
  <si>
    <t xml:space="preserve">Monthly</t>
  </si>
  <si>
    <t xml:space="preserve">Matthew Allen</t>
  </si>
  <si>
    <t xml:space="preserve">Semi-Monthly</t>
  </si>
  <si>
    <t xml:space="preserve">Steven Roberts</t>
  </si>
  <si>
    <t xml:space="preserve">Joseph Allen</t>
  </si>
  <si>
    <t xml:space="preserve">Linda Harris</t>
  </si>
  <si>
    <t xml:space="preserve">Richard Anderson</t>
  </si>
  <si>
    <t xml:space="preserve">Lisa Smith</t>
  </si>
  <si>
    <t xml:space="preserve">Betty Flores</t>
  </si>
  <si>
    <t xml:space="preserve">David Anderson</t>
  </si>
  <si>
    <t xml:space="preserve">Jessica Martin</t>
  </si>
  <si>
    <t xml:space="preserve">Margaret Nelson</t>
  </si>
  <si>
    <t xml:space="preserve">Nancy Lee</t>
  </si>
  <si>
    <t xml:space="preserve">Mark Young</t>
  </si>
  <si>
    <t xml:space="preserve">Donna Thompson</t>
  </si>
  <si>
    <t xml:space="preserve">Donna Ramirez</t>
  </si>
  <si>
    <t xml:space="preserve">Linda Thomas</t>
  </si>
  <si>
    <t xml:space="preserve">Donna Green</t>
  </si>
  <si>
    <t xml:space="preserve">Kimberly Lee</t>
  </si>
  <si>
    <t xml:space="preserve">Karen Adams</t>
  </si>
  <si>
    <t xml:space="preserve">Susan Wright</t>
  </si>
  <si>
    <t xml:space="preserve">Mark Nguyen</t>
  </si>
  <si>
    <t xml:space="preserve">Donna Miller</t>
  </si>
  <si>
    <t xml:space="preserve">Amanda Nelson</t>
  </si>
  <si>
    <t xml:space="preserve">Charles Wilson</t>
  </si>
  <si>
    <t xml:space="preserve">Andrew Walker</t>
  </si>
  <si>
    <t xml:space="preserve">Mark Moore</t>
  </si>
  <si>
    <t xml:space="preserve">Donna Sanchez</t>
  </si>
  <si>
    <t xml:space="preserve">Sandra Martinez</t>
  </si>
  <si>
    <t xml:space="preserve">Amanda Rivera</t>
  </si>
  <si>
    <t xml:space="preserve">Anthony Wright</t>
  </si>
  <si>
    <t xml:space="preserve">Barbara Williams</t>
  </si>
  <si>
    <t xml:space="preserve">Anthony Allen</t>
  </si>
  <si>
    <t xml:space="preserve">Andrew Carter</t>
  </si>
  <si>
    <t xml:space="preserve">Steven Hall</t>
  </si>
  <si>
    <t xml:space="preserve">Christopher Davis</t>
  </si>
  <si>
    <t xml:space="preserve">Amanda Garcia</t>
  </si>
  <si>
    <t xml:space="preserve">Barbara Baker</t>
  </si>
  <si>
    <t xml:space="preserve">Kimberly Sanchez</t>
  </si>
  <si>
    <t xml:space="preserve">TOTALS</t>
  </si>
  <si>
    <t xml:space="preserve">📈  HEADCOUNT &amp; BUDGET FORECAST  |  2025–2027</t>
  </si>
  <si>
    <t xml:space="preserve">KEY ASSUMPTIONS</t>
  </si>
  <si>
    <t xml:space="preserve">Headcount Growth Rate</t>
  </si>
  <si>
    <t xml:space="preserve">Attrition Rate</t>
  </si>
  <si>
    <t xml:space="preserve">Avg Salary Increase</t>
  </si>
  <si>
    <t xml:space="preserve">Hiring Cost per Head</t>
  </si>
  <si>
    <t xml:space="preserve">Benefits % of Salary</t>
  </si>
  <si>
    <t xml:space="preserve">Metric</t>
  </si>
  <si>
    <t xml:space="preserve">2024 (Actual)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</si>
  <si>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</si>
  <si>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</si>
  <si>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</si>
  <si>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</si>
  <si>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</si>
  <si>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</si>
  <si>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</si>
  <si>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</si>
  <si>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</si>
  <si>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</si>
  <si>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</si>
  <si>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</si>
  <si>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Headcount (EOP)</t>
  </si>
  <si>
    <t xml:space="preserve">New Hires</t>
  </si>
  <si>
    <t xml:space="preserve">Attritions</t>
  </si>
  <si>
    <t xml:space="preserve">Total Salary Budget($)</t>
  </si>
  <si>
    <t xml:space="preserve">Hiring Costs ($)</t>
  </si>
  <si>
    <t xml:space="preserve">Benefits Cost ($)</t>
  </si>
  <si>
    <t xml:space="preserve">Total People Cost ($)</t>
  </si>
  <si>
    <t xml:space="preserve">🎓  LEARNING &amp; DEVELOPMENT TRACKER</t>
  </si>
  <si>
    <t xml:space="preserve">Course Name</t>
  </si>
  <si>
    <t xml:space="preserve">Category</t>
  </si>
  <si>
    <t xml:space="preserve">Provider</t>
  </si>
  <si>
    <t xml:space="preserve">Start Date</t>
  </si>
  <si>
    <t xml:space="preserve">End Date</t>
  </si>
  <si>
    <t xml:space="preserve">Hours</t>
  </si>
  <si>
    <t xml:space="preserve">Score (%)</t>
  </si>
  <si>
    <t xml:space="preserve">Certification</t>
  </si>
  <si>
    <t xml:space="preserve">Kevin Anderson</t>
  </si>
  <si>
    <t xml:space="preserve">SQL for Business</t>
  </si>
  <si>
    <t xml:space="preserve">Soft Skills</t>
  </si>
  <si>
    <t xml:space="preserve">Pluralsight</t>
  </si>
  <si>
    <t xml:space="preserve">No</t>
  </si>
  <si>
    <t xml:space="preserve">Mark Jackson</t>
  </si>
  <si>
    <t xml:space="preserve">Financial Modeling</t>
  </si>
  <si>
    <t xml:space="preserve">Stephanie Hill</t>
  </si>
  <si>
    <t xml:space="preserve">Agile &amp; Scrum</t>
  </si>
  <si>
    <t xml:space="preserve">Leadership</t>
  </si>
  <si>
    <t xml:space="preserve">Coursera</t>
  </si>
  <si>
    <t xml:space="preserve">Project Management Basics</t>
  </si>
  <si>
    <t xml:space="preserve">Yes</t>
  </si>
  <si>
    <t xml:space="preserve">James Thompson</t>
  </si>
  <si>
    <t xml:space="preserve">Harvard Online</t>
  </si>
  <si>
    <t xml:space="preserve">Enrolled</t>
  </si>
  <si>
    <t xml:space="preserve">Betty Green</t>
  </si>
  <si>
    <t xml:space="preserve">Leadership Essentials</t>
  </si>
  <si>
    <t xml:space="preserve">Technical</t>
  </si>
  <si>
    <t xml:space="preserve">Udemy</t>
  </si>
  <si>
    <t xml:space="preserve">Anthony Moore</t>
  </si>
  <si>
    <t xml:space="preserve">Data Privacy &amp; GDPR</t>
  </si>
  <si>
    <t xml:space="preserve">Internal</t>
  </si>
  <si>
    <t xml:space="preserve">Nancy Young</t>
  </si>
  <si>
    <t xml:space="preserve">Steven Green</t>
  </si>
  <si>
    <t xml:space="preserve">Cybersecurity Fundamentals</t>
  </si>
  <si>
    <t xml:space="preserve">Compliance</t>
  </si>
  <si>
    <t xml:space="preserve">George Garcia</t>
  </si>
  <si>
    <t xml:space="preserve">AWS Cloud Practitioner</t>
  </si>
  <si>
    <t xml:space="preserve">Conflict Resolution</t>
  </si>
  <si>
    <t xml:space="preserve">LinkedIn Learning</t>
  </si>
  <si>
    <t xml:space="preserve">Deborah Lee</t>
  </si>
  <si>
    <t xml:space="preserve">Google Analytics</t>
  </si>
  <si>
    <t xml:space="preserve">Ronald Nguyen</t>
  </si>
  <si>
    <t xml:space="preserve">Andrew Davis</t>
  </si>
  <si>
    <t xml:space="preserve">Excel Macros &amp; VBA</t>
  </si>
  <si>
    <t xml:space="preserve">Emily Baker</t>
  </si>
  <si>
    <t xml:space="preserve">Python for Data Analysis</t>
  </si>
  <si>
    <t xml:space="preserve">Dorothy Johnson</t>
  </si>
  <si>
    <t xml:space="preserve">Stephanie Young</t>
  </si>
  <si>
    <t xml:space="preserve">Emily Rodriguez</t>
  </si>
  <si>
    <t xml:space="preserve">Emily Gonzalez</t>
  </si>
  <si>
    <t xml:space="preserve">Steven Robinson</t>
  </si>
  <si>
    <t xml:space="preserve">Betty Mitchell</t>
  </si>
  <si>
    <t xml:space="preserve">Timothy Moore</t>
  </si>
  <si>
    <t xml:space="preserve">PMP Certification</t>
  </si>
  <si>
    <t xml:space="preserve">Patricia Gonzalez</t>
  </si>
  <si>
    <t xml:space="preserve">Emily Hernandez</t>
  </si>
  <si>
    <t xml:space="preserve">Excel Advanced</t>
  </si>
  <si>
    <t xml:space="preserve">Timothy Harris</t>
  </si>
  <si>
    <t xml:space="preserve">Michael White</t>
  </si>
  <si>
    <t xml:space="preserve">Jennifer Torres</t>
  </si>
  <si>
    <t xml:space="preserve">Melissa Thomas</t>
  </si>
  <si>
    <t xml:space="preserve">Nancy Campbell</t>
  </si>
  <si>
    <t xml:space="preserve">Daniel Hall</t>
  </si>
  <si>
    <t xml:space="preserve">Amanda Taylor</t>
  </si>
  <si>
    <t xml:space="preserve">Linda Clark</t>
  </si>
  <si>
    <t xml:space="preserve">Daniel Thomas</t>
  </si>
  <si>
    <t xml:space="preserve">Diversity &amp; Inclusion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</si>
</sst>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\$#,##0"/>
    <numFmt numFmtId="167" formatCode="0.0%"/>
    <numFmt numFmtId="168" formatCode="0.0"/>
    <numFmt numFmtId="169" formatCode="0"/>
    <numFmt numFmtId="170" formatCode="yyyy\-mm\-dd"/>
    <numFmt numFmtId="171" formatCode="0\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0"/>
      <color rgb="FF717D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8"/>
      <color rgb="FF1F3864"/>
      <name val="Arial"/>
      <family val="0"/>
      <charset val="1"/>
    </font>
    <font>
      <b val="true"/>
      <sz val="28"/>
      <color rgb="FF17A589"/>
      <name val="Arial"/>
      <family val="0"/>
      <charset val="1"/>
    </font>
    <font>
      <b val="true"/>
      <sz val="28"/>
      <color rgb="FFE67E22"/>
      <name val="Arial"/>
      <family val="0"/>
      <charset val="1"/>
    </font>
    <font>
      <b val="true"/>
      <sz val="28"/>
      <color rgb="FF7D3C9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E8449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16"/>
      <color rgb="FFE67E22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00"/>
      </patternFill>
    </fill>
    <fill>
      <patternFill patternType="solid">
        <fgColor rgb="FFF2F3F4"/>
        <bgColor rgb="FFEBF5FB"/>
      </patternFill>
    </fill>
    <fill>
      <patternFill patternType="solid">
        <fgColor rgb="FF17A589"/>
        <bgColor rgb="FF398BA2"/>
      </patternFill>
    </fill>
    <fill>
      <patternFill patternType="solid">
        <fgColor rgb="FFE67E22"/>
        <bgColor rgb="FFCB7934"/>
      </patternFill>
    </fill>
    <fill>
      <patternFill patternType="solid">
        <fgColor rgb="FF7D3C98"/>
        <bgColor rgb="FF674F84"/>
      </patternFill>
    </fill>
    <fill>
      <patternFill patternType="solid">
        <fgColor rgb="FFFFFFFF"/>
        <bgColor rgb="FFF9F9F9"/>
      </patternFill>
    </fill>
    <fill>
      <patternFill patternType="solid">
        <fgColor rgb="FFF39C12"/>
        <bgColor rgb="FFF59240"/>
      </patternFill>
    </fill>
    <fill>
      <patternFill patternType="solid">
        <fgColor rgb="FFC0392B"/>
        <bgColor rgb="FFBE4B48"/>
      </patternFill>
    </fill>
    <fill>
      <patternFill patternType="solid">
        <fgColor rgb="FF2ECC71"/>
        <bgColor rgb="FF17A589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D9D9D9"/>
      </patternFill>
    </fill>
    <fill>
      <patternFill patternType="solid">
        <fgColor rgb="FFF9E79F"/>
        <bgColor rgb="FFFAD7A0"/>
      </patternFill>
    </fill>
    <fill>
      <patternFill patternType="solid">
        <fgColor rgb="FF85C1E9"/>
        <bgColor rgb="FFA5B5D3"/>
      </patternFill>
    </fill>
    <fill>
      <patternFill patternType="solid">
        <fgColor rgb="FFAED6F1"/>
        <bgColor rgb="FFD9D9D9"/>
      </patternFill>
    </fill>
    <fill>
      <patternFill patternType="solid">
        <fgColor rgb="FFEBF5FB"/>
        <bgColor rgb="FFF2F3F4"/>
      </patternFill>
    </fill>
    <fill>
      <patternFill patternType="solid">
        <fgColor rgb="FFFAD7A0"/>
        <bgColor rgb="FFF9E79F"/>
      </patternFill>
    </fill>
    <fill>
      <patternFill patternType="solid">
        <fgColor rgb="FF1E8449"/>
        <bgColor rgb="FF117A65"/>
      </patternFill>
    </fill>
    <fill>
      <patternFill patternType="solid">
        <fgColor rgb="FF117A65"/>
        <bgColor rgb="FF1E844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2BABB"/>
      </left>
      <right style="thin">
        <color rgb="FFB2BABB"/>
      </right>
      <top style="thin">
        <color rgb="FFB2BABB"/>
      </top>
      <bottom style="thin">
        <color rgb="FFB2BABB"/>
      </bottom>
      <diagonal/>
    </border>
    <border diagonalUp="false" diagonalDown="false">
      <left style="thin">
        <color rgb="FFB2BABB"/>
      </left>
      <right/>
      <top/>
      <bottom style="thin">
        <color rgb="FFB2BABB"/>
      </bottom>
      <diagonal/>
    </border>
    <border diagonalUp="false" diagonalDown="false">
      <left/>
      <right style="thin">
        <color rgb="FFB2BABB"/>
      </right>
      <top/>
      <bottom style="thin">
        <color rgb="FFB2BABB"/>
      </bottom>
      <diagonal/>
    </border>
    <border diagonalUp="false" diagonalDown="false">
      <left style="thin">
        <color rgb="FFB2BABB"/>
      </left>
      <right/>
      <top style="thin">
        <color rgb="FFB2BABB"/>
      </top>
      <bottom style="thin">
        <color rgb="FFB2BA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392B"/>
      </font>
      <fill>
        <patternFill>
          <bgColor rgb="FFFADBD8"/>
        </patternFill>
      </fill>
    </dxf>
    <dxf>
      <fill>
        <patternFill>
          <bgColor rgb="FFF9E79F"/>
        </patternFill>
      </fill>
    </dxf>
  </dxfs>
  <colors>
    <indexedColors>
      <rgbColor rgb="FF000000"/>
      <rgbColor rgb="FFFFFFFF"/>
      <rgbColor rgb="FFCB7934"/>
      <rgbColor rgb="FF2ECC71"/>
      <rgbColor rgb="FF0000FF"/>
      <rgbColor rgb="FFF2F3F4"/>
      <rgbColor rgb="FFFF00FF"/>
      <rgbColor rgb="FF00FFFF"/>
      <rgbColor rgb="FF800000"/>
      <rgbColor rgb="FF4F81BD"/>
      <rgbColor rgb="FF000080"/>
      <rgbColor rgb="FF7E9945"/>
      <rgbColor rgb="FFBE4B48"/>
      <rgbColor rgb="FF117A65"/>
      <rgbColor rgb="FFB2BABB"/>
      <rgbColor rgb="FF878787"/>
      <rgbColor rgb="FFA5B5D3"/>
      <rgbColor rgb="FF9D3E3B"/>
      <rgbColor rgb="FFF9F9F9"/>
      <rgbColor rgb="FFD6EAF8"/>
      <rgbColor rgb="FF660066"/>
      <rgbColor rgb="FFF59240"/>
      <rgbColor rgb="FF398BA2"/>
      <rgbColor rgb="FFD9D9D9"/>
      <rgbColor rgb="FF000080"/>
      <rgbColor rgb="FFFF00FF"/>
      <rgbColor rgb="FFFFFF00"/>
      <rgbColor rgb="FF00FFFF"/>
      <rgbColor rgb="FFC0504D"/>
      <rgbColor rgb="FF800000"/>
      <rgbColor rgb="FF1E8449"/>
      <rgbColor rgb="FF0000FF"/>
      <rgbColor rgb="FF46AAC4"/>
      <rgbColor rgb="FFEBF5FB"/>
      <rgbColor rgb="FFD5F5E3"/>
      <rgbColor rgb="FFF9E79F"/>
      <rgbColor rgb="FFAED6F1"/>
      <rgbColor rgb="FFFADBD8"/>
      <rgbColor rgb="FF85C1E9"/>
      <rgbColor rgb="FFFAD7A0"/>
      <rgbColor rgb="FF4A7EBB"/>
      <rgbColor rgb="FF4BACC6"/>
      <rgbColor rgb="FF98B855"/>
      <rgbColor rgb="FF9BBB59"/>
      <rgbColor rgb="FFF39C12"/>
      <rgbColor rgb="FFE67E22"/>
      <rgbColor rgb="FF7D5FA0"/>
      <rgbColor rgb="FF717D7E"/>
      <rgbColor rgb="FF1F3864"/>
      <rgbColor rgb="FF17A589"/>
      <rgbColor rgb="FF003300"/>
      <rgbColor rgb="FF333300"/>
      <rgbColor rgb="FFC0392B"/>
      <rgbColor rgb="FF7D3C98"/>
      <rgbColor rgb="FF674F84"/>
      <rgbColor rgb="FF8064A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"Headcount"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17a58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Dashboard'!$A$9:$A$16</c:f>
              <c:strCache>
                <c:ptCount val="8"/>
                <c:pt idx="0">
                  <c:v>Engineering</c:v>
                </c:pt>
                <c:pt idx="1">
                  <c:v>Sales</c:v>
                </c:pt>
                <c:pt idx="2">
                  <c:v>HR</c:v>
                </c:pt>
                <c:pt idx="3">
                  <c:v>Finance</c:v>
                </c:pt>
                <c:pt idx="4">
                  <c:v>Marketing</c:v>
                </c:pt>
                <c:pt idx="5">
                  <c:v>Operations</c:v>
                </c:pt>
                <c:pt idx="6">
                  <c:v>Legal</c:v>
                </c:pt>
                <c:pt idx="7">
                  <c:v>IT</c:v>
                </c:pt>
              </c:strCache>
            </c:strRef>
          </c:cat>
          <c:val>
            <c:numRef>
              <c:f>'📊 Dashboard'!$B$9:$B$16</c:f>
              <c:numCache>
                <c:formatCode>0</c:formatCode>
                <c:ptCount val="8"/>
                <c:pt idx="0">
                  <c:v>3</c:v>
                </c:pt>
                <c:pt idx="1">
                  <c:v>9</c:v>
                </c:pt>
                <c:pt idx="2">
                  <c:v>3</c:v>
                </c:pt>
                <c:pt idx="3">
                  <c:v>13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</c:ser>
        <c:gapWidth val="150"/>
        <c:overlap val="0"/>
        <c:axId val="68676257"/>
        <c:axId val="43771905"/>
      </c:barChart>
      <c:catAx>
        <c:axId val="686762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71905"/>
        <c:crosses val="autoZero"/>
        <c:auto val="1"/>
        <c:lblAlgn val="ctr"/>
        <c:lblOffset val="100"/>
        <c:noMultiLvlLbl val="0"/>
      </c:catAx>
      <c:valAx>
        <c:axId val="43771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762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'📊 Dashboard'!$K$9:$K$13</c:f>
              <c:strCache>
                <c:ptCount val="5"/>
                <c:pt idx="0">
                  <c:v>20–29</c:v>
                </c:pt>
                <c:pt idx="1">
                  <c:v>30–39</c:v>
                </c:pt>
                <c:pt idx="2">
                  <c:v>40–49</c:v>
                </c:pt>
                <c:pt idx="3">
                  <c:v>50–59</c:v>
                </c:pt>
                <c:pt idx="4">
                  <c:v>60+</c:v>
                </c:pt>
              </c:strCache>
            </c:strRef>
          </c:cat>
          <c:val>
            <c:numRef>
              <c:f>'📊 Dashboard'!$L$9:$L$13</c:f>
              <c:numCache>
                <c:formatCode>0</c:formatCode>
                <c:ptCount val="5"/>
                <c:pt idx="0">
                  <c:v>5</c:v>
                </c:pt>
                <c:pt idx="1">
                  <c:v>16</c:v>
                </c:pt>
                <c:pt idx="2">
                  <c:v>9</c:v>
                </c:pt>
                <c:pt idx="3">
                  <c:v>16</c:v>
                </c:pt>
                <c:pt idx="4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Forecast 2024–2027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"Headcount"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7d3c98"/>
            </a:solidFill>
            <a:ln w="24840">
              <a:solidFill>
                <a:srgbClr val="7d3c9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Forecast'!$B$11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Forecast'!$C$11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Forecast'!$D$11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74f84"/>
            </a:solidFill>
            <a:ln w="4752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Forecast'!$E$11</c:f>
              <c:numCache>
                <c:formatCode>General</c:formatCode>
                <c:ptCount val="1"/>
                <c:pt idx="0">
                  <c:v>57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98ba2"/>
            </a:solidFill>
            <a:ln w="47520">
              <a:solidFill>
                <a:srgbClr val="398ba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Forecast'!$F$11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cb7934"/>
            </a:solidFill>
            <a:ln w="47520">
              <a:solidFill>
                <a:srgbClr val="cb79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Forecast'!$G$11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Forecast'!$H$11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Forecast'!$I$11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Forecast'!$J$11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Forecast'!$K$11</c:f>
              <c:numCache>
                <c:formatCode>General</c:formatCode>
                <c:ptCount val="1"/>
                <c:pt idx="0">
                  <c:v>74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46aac4"/>
            </a:solidFill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Forecast'!$L$11</c:f>
              <c:numCache>
                <c:formatCode>General</c:formatCode>
                <c:ptCount val="1"/>
                <c:pt idx="0">
                  <c:v>78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9240"/>
            </a:solidFill>
            <a:ln w="4752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Forecast'!$M$11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a5b5d3"/>
            </a:solidFill>
            <a:ln w="47520">
              <a:solidFill>
                <a:srgbClr val="a5b5d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'📈 Forecast'!$B$10:$N$10</c:f>
              <c:multiLvlStrCache>
                <c:ptCount val="1"/>
                <c:lvl>
                  <c:pt idx="0">
                    <c:v>2027 Q4</c:v>
                  </c:pt>
                </c:lvl>
                <c:lvl>
                  <c:pt idx="0">
                    <c:v>2027 Q3</c:v>
                  </c:pt>
                </c:lvl>
                <c:lvl>
                  <c:pt idx="0">
                    <c:v>2027 Q2</c:v>
                  </c:pt>
                </c:lvl>
                <c:lvl>
                  <c:pt idx="0">
                    <c:v>2027 Q1</c:v>
                  </c:pt>
                </c:lvl>
                <c:lvl>
                  <c:pt idx="0">
                    <c:v>2026 Q4</c:v>
                  </c:pt>
                </c:lvl>
                <c:lvl>
                  <c:pt idx="0">
                    <c:v>2026 Q3</c:v>
                  </c:pt>
                </c:lvl>
                <c:lvl>
                  <c:pt idx="0">
                    <c:v>2026 Q2</c:v>
                  </c:pt>
                </c:lvl>
                <c:lvl>
                  <c:pt idx="0">
                    <c:v>2026 Q1</c:v>
                  </c:pt>
                </c:lvl>
                <c:lvl>
                  <c:pt idx="0">
                    <c:v>2025 Q4</c:v>
                  </c:pt>
                </c:lvl>
                <c:lvl>
                  <c:pt idx="0">
                    <c:v>2025 Q3</c:v>
                  </c:pt>
                </c:lvl>
                <c:lvl>
                  <c:pt idx="0">
                    <c:v>2025 Q2</c:v>
                  </c:pt>
                </c:lvl>
                <c:lvl>
                  <c:pt idx="0">
                    <c:v>2025 Q1</c:v>
                  </c:pt>
                </c:lvl>
                <c:lvl>
                  <c:pt idx="0">
                    <c:v>2024 (Actual)</c:v>
                  </c:pt>
                </c:lvl>
              </c:multiLvlStrCache>
            </c:multiLvlStrRef>
          </c:cat>
          <c:val>
            <c:numRef>
              <c:f>'📈 Forecast'!$N$11</c:f>
              <c:numCache>
                <c:formatCode>General</c:formatCode>
                <c:ptCount val="1"/>
                <c:pt idx="0">
                  <c:v>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886375"/>
        <c:axId val="45880033"/>
      </c:lineChart>
      <c:catAx>
        <c:axId val="278863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80033"/>
        <c:crosses val="autoZero"/>
        <c:auto val="1"/>
        <c:lblAlgn val="ctr"/>
        <c:lblOffset val="100"/>
        <c:noMultiLvlLbl val="0"/>
      </c:catAx>
      <c:valAx>
        <c:axId val="45880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Headcount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863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8</xdr:row>
      <xdr:rowOff>0</xdr:rowOff>
    </xdr:from>
    <xdr:to>
      <xdr:col>21</xdr:col>
      <xdr:colOff>153000</xdr:colOff>
      <xdr:row>24</xdr:row>
      <xdr:rowOff>115200</xdr:rowOff>
    </xdr:to>
    <xdr:graphicFrame>
      <xdr:nvGraphicFramePr>
        <xdr:cNvPr id="0" name="Chart 1"/>
        <xdr:cNvGraphicFramePr/>
      </xdr:nvGraphicFramePr>
      <xdr:xfrm>
        <a:off x="635040" y="22478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8</xdr:row>
      <xdr:rowOff>0</xdr:rowOff>
    </xdr:from>
    <xdr:to>
      <xdr:col>25</xdr:col>
      <xdr:colOff>162000</xdr:colOff>
      <xdr:row>24</xdr:row>
      <xdr:rowOff>115200</xdr:rowOff>
    </xdr:to>
    <xdr:graphicFrame>
      <xdr:nvGraphicFramePr>
        <xdr:cNvPr id="1" name="Chart 2"/>
        <xdr:cNvGraphicFramePr/>
      </xdr:nvGraphicFramePr>
      <xdr:xfrm>
        <a:off x="3809880" y="2247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9</xdr:col>
      <xdr:colOff>55440</xdr:colOff>
      <xdr:row>40</xdr:row>
      <xdr:rowOff>128880</xdr:rowOff>
    </xdr:to>
    <xdr:graphicFrame>
      <xdr:nvGraphicFramePr>
        <xdr:cNvPr id="2" name="Chart 1"/>
        <xdr:cNvGraphicFramePr/>
      </xdr:nvGraphicFramePr>
      <xdr:xfrm>
        <a:off x="0" y="408636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4.5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tr">
        <f aca="true">TEXT(TODAY(),"MMMM DD, YYYY")&amp;"   |   Auto-refreshes from Employee Data"</f>
        <v>June 16, 2026   |   Auto-refreshes from Employee Data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1</v>
      </c>
      <c r="B4" s="3"/>
      <c r="C4" s="3"/>
      <c r="D4" s="3"/>
      <c r="E4" s="3"/>
      <c r="F4" s="4" t="s">
        <v>2</v>
      </c>
      <c r="G4" s="4"/>
      <c r="H4" s="4"/>
      <c r="I4" s="4"/>
      <c r="J4" s="4"/>
      <c r="K4" s="5" t="s">
        <v>3</v>
      </c>
      <c r="L4" s="5"/>
      <c r="M4" s="5"/>
      <c r="N4" s="5"/>
      <c r="O4" s="5"/>
      <c r="P4" s="6" t="s">
        <v>4</v>
      </c>
      <c r="Q4" s="6"/>
      <c r="R4" s="6"/>
      <c r="S4" s="6"/>
      <c r="T4" s="6"/>
    </row>
    <row r="5" customFormat="false" ht="36" hidden="false" customHeight="true" outlineLevel="0" collapsed="false">
      <c r="A5" s="7" t="n">
        <f aca="false">'👥 Employee Data'!B2</f>
        <v>51</v>
      </c>
      <c r="B5" s="7"/>
      <c r="C5" s="7"/>
      <c r="D5" s="7"/>
      <c r="E5" s="7"/>
      <c r="F5" s="8" t="n">
        <f aca="false">'👥 Employee Data'!B3</f>
        <v>95580.4</v>
      </c>
      <c r="G5" s="8"/>
      <c r="H5" s="8"/>
      <c r="I5" s="8"/>
      <c r="J5" s="8"/>
      <c r="K5" s="9" t="n">
        <f aca="false">'👥 Employee Data'!B4</f>
        <v>0.0980392156862745</v>
      </c>
      <c r="L5" s="9"/>
      <c r="M5" s="9"/>
      <c r="N5" s="9"/>
      <c r="O5" s="9"/>
      <c r="P5" s="10" t="n">
        <f aca="false">'👥 Employee Data'!B5</f>
        <v>9.144</v>
      </c>
      <c r="Q5" s="10"/>
      <c r="R5" s="10"/>
      <c r="S5" s="10"/>
      <c r="T5" s="10"/>
    </row>
    <row r="6" customFormat="false" ht="19.5" hidden="false" customHeight="true" outlineLevel="0" collapsed="false">
      <c r="A6" s="7"/>
      <c r="B6" s="7"/>
      <c r="C6" s="7"/>
      <c r="D6" s="7"/>
      <c r="E6" s="7"/>
      <c r="F6" s="8"/>
      <c r="G6" s="8"/>
      <c r="H6" s="8"/>
      <c r="I6" s="8"/>
      <c r="J6" s="8"/>
      <c r="K6" s="9"/>
      <c r="L6" s="9"/>
      <c r="M6" s="9"/>
      <c r="N6" s="9"/>
      <c r="O6" s="9"/>
      <c r="P6" s="10"/>
      <c r="Q6" s="10"/>
      <c r="R6" s="10"/>
      <c r="S6" s="10"/>
      <c r="T6" s="10"/>
    </row>
    <row r="7" customFormat="false" ht="13.5" hidden="false" customHeight="true" outlineLevel="0" collapsed="false"/>
    <row r="8" customFormat="false" ht="15" hidden="false" customHeight="false" outlineLevel="0" collapsed="false">
      <c r="A8" s="11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2" t="s">
        <v>6</v>
      </c>
      <c r="L8" s="12"/>
      <c r="M8" s="12"/>
      <c r="N8" s="12"/>
      <c r="O8" s="12"/>
      <c r="P8" s="12"/>
      <c r="Q8" s="12"/>
      <c r="R8" s="12"/>
      <c r="S8" s="12"/>
      <c r="T8" s="12"/>
    </row>
    <row r="9" customFormat="false" ht="15.75" hidden="false" customHeight="true" outlineLevel="0" collapsed="false">
      <c r="A9" s="13" t="s">
        <v>7</v>
      </c>
      <c r="B9" s="14" t="n">
        <f aca="false">COUNTIF('👥 Employee Data'!D:D,A9)</f>
        <v>3</v>
      </c>
      <c r="K9" s="13" t="s">
        <v>8</v>
      </c>
      <c r="L9" s="14" t="n">
        <f aca="false">COUNTIFS('👥 Employee Data'!G:G,"&gt;="&amp;20,'👥 Employee Data'!G:G,"&lt;="&amp;29)</f>
        <v>5</v>
      </c>
    </row>
    <row r="10" customFormat="false" ht="15.75" hidden="false" customHeight="true" outlineLevel="0" collapsed="false">
      <c r="A10" s="15" t="s">
        <v>9</v>
      </c>
      <c r="B10" s="16" t="n">
        <f aca="false">COUNTIF('👥 Employee Data'!D:D,A10)</f>
        <v>9</v>
      </c>
      <c r="K10" s="15" t="s">
        <v>10</v>
      </c>
      <c r="L10" s="16" t="n">
        <f aca="false">COUNTIFS('👥 Employee Data'!G:G,"&gt;="&amp;30,'👥 Employee Data'!G:G,"&lt;="&amp;39)</f>
        <v>16</v>
      </c>
    </row>
    <row r="11" customFormat="false" ht="15.75" hidden="false" customHeight="true" outlineLevel="0" collapsed="false">
      <c r="A11" s="13" t="s">
        <v>11</v>
      </c>
      <c r="B11" s="14" t="n">
        <f aca="false">COUNTIF('👥 Employee Data'!D:D,A11)</f>
        <v>3</v>
      </c>
      <c r="K11" s="13" t="s">
        <v>12</v>
      </c>
      <c r="L11" s="14" t="n">
        <f aca="false">COUNTIFS('👥 Employee Data'!G:G,"&gt;="&amp;40,'👥 Employee Data'!G:G,"&lt;="&amp;49)</f>
        <v>9</v>
      </c>
    </row>
    <row r="12" customFormat="false" ht="15.75" hidden="false" customHeight="true" outlineLevel="0" collapsed="false">
      <c r="A12" s="15" t="s">
        <v>13</v>
      </c>
      <c r="B12" s="16" t="n">
        <f aca="false">COUNTIF('👥 Employee Data'!D:D,A12)</f>
        <v>13</v>
      </c>
      <c r="K12" s="15" t="s">
        <v>14</v>
      </c>
      <c r="L12" s="16" t="n">
        <f aca="false">COUNTIFS('👥 Employee Data'!G:G,"&gt;="&amp;50,'👥 Employee Data'!G:G,"&lt;="&amp;59)</f>
        <v>16</v>
      </c>
    </row>
    <row r="13" customFormat="false" ht="15.75" hidden="false" customHeight="true" outlineLevel="0" collapsed="false">
      <c r="A13" s="13" t="s">
        <v>15</v>
      </c>
      <c r="B13" s="14" t="n">
        <f aca="false">COUNTIF('👥 Employee Data'!D:D,A13)</f>
        <v>4</v>
      </c>
      <c r="K13" s="13" t="s">
        <v>16</v>
      </c>
      <c r="L13" s="14" t="n">
        <f aca="false">COUNTIFS('👥 Employee Data'!G:G,"&gt;="&amp;60,'👥 Employee Data'!G:G,"&lt;="&amp;99)</f>
        <v>4</v>
      </c>
    </row>
    <row r="14" customFormat="false" ht="15.75" hidden="false" customHeight="true" outlineLevel="0" collapsed="false">
      <c r="A14" s="15" t="s">
        <v>17</v>
      </c>
      <c r="B14" s="16" t="n">
        <f aca="false">COUNTIF('👥 Employee Data'!D:D,A14)</f>
        <v>4</v>
      </c>
    </row>
    <row r="15" customFormat="false" ht="15.75" hidden="false" customHeight="true" outlineLevel="0" collapsed="false">
      <c r="A15" s="13" t="s">
        <v>18</v>
      </c>
      <c r="B15" s="14" t="n">
        <f aca="false">COUNTIF('👥 Employee Data'!D:D,A15)</f>
        <v>8</v>
      </c>
    </row>
    <row r="16" customFormat="false" ht="15.75" hidden="false" customHeight="true" outlineLevel="0" collapsed="false">
      <c r="A16" s="15" t="s">
        <v>19</v>
      </c>
      <c r="B16" s="16" t="n">
        <f aca="false">COUNTIF('👥 Employee Data'!D:D,A16)</f>
        <v>6</v>
      </c>
    </row>
    <row r="25" customFormat="false" ht="9.75" hidden="false" customHeight="true" outlineLevel="0" collapsed="false"/>
    <row r="26" customFormat="false" ht="15" hidden="false" customHeight="false" outlineLevel="0" collapsed="false">
      <c r="A26" s="17" t="s">
        <v>20</v>
      </c>
      <c r="B26" s="17"/>
      <c r="C26" s="17"/>
      <c r="D26" s="17"/>
      <c r="E26" s="17"/>
      <c r="F26" s="17"/>
      <c r="G26" s="17"/>
      <c r="H26" s="17"/>
      <c r="I26" s="17"/>
      <c r="J26" s="17"/>
      <c r="K26" s="18" t="s">
        <v>21</v>
      </c>
      <c r="L26" s="18"/>
      <c r="M26" s="18"/>
      <c r="N26" s="18"/>
      <c r="O26" s="18"/>
      <c r="P26" s="18"/>
      <c r="Q26" s="18"/>
      <c r="R26" s="18"/>
      <c r="S26" s="18"/>
      <c r="T26" s="18"/>
    </row>
    <row r="27" customFormat="false" ht="15" hidden="false" customHeight="false" outlineLevel="0" collapsed="false">
      <c r="A27" s="19" t="s">
        <v>22</v>
      </c>
      <c r="B27" s="19" t="s">
        <v>23</v>
      </c>
      <c r="C27" s="19" t="s">
        <v>24</v>
      </c>
      <c r="D27" s="19" t="s">
        <v>25</v>
      </c>
      <c r="E27" s="19" t="s">
        <v>26</v>
      </c>
      <c r="K27" s="19" t="s">
        <v>27</v>
      </c>
      <c r="L27" s="19" t="s">
        <v>28</v>
      </c>
      <c r="M27" s="19" t="s">
        <v>29</v>
      </c>
    </row>
    <row r="28" customFormat="false" ht="15.75" hidden="false" customHeight="true" outlineLevel="0" collapsed="false">
      <c r="A28" s="20" t="s">
        <v>7</v>
      </c>
      <c r="B28" s="21" t="n">
        <f aca="false">IFERROR(minifs('👥 Employee Data'!F:F,'👥 Employee Data'!D:D,A28),0)</f>
        <v>0</v>
      </c>
      <c r="C28" s="21" t="n">
        <f aca="false">IFERROR(AVERAGEIF('👥 Employee Data'!D:D,A28,'👥 Employee Data'!F:F),0)</f>
        <v>116594.333333333</v>
      </c>
      <c r="D28" s="21" t="n">
        <f aca="false">IFERROR(maxifs('👥 Employee Data'!F:F,'👥 Employee Data'!D:D,A28),0)</f>
        <v>0</v>
      </c>
      <c r="E28" s="22" t="n">
        <f aca="false">COUNTIF('👥 Employee Data'!D:D,A28)</f>
        <v>3</v>
      </c>
      <c r="K28" s="23" t="s">
        <v>30</v>
      </c>
      <c r="L28" s="24" t="n">
        <f aca="false">COUNTIF('👥 Employee Data'!I:I,5)</f>
        <v>11</v>
      </c>
      <c r="M28" s="25" t="n">
        <f aca="false">IFERROR(L28/'👥 Employee Data'!B2,0)</f>
        <v>0.215686274509804</v>
      </c>
    </row>
    <row r="29" customFormat="false" ht="15.75" hidden="false" customHeight="true" outlineLevel="0" collapsed="false">
      <c r="A29" s="26" t="s">
        <v>9</v>
      </c>
      <c r="B29" s="27" t="n">
        <f aca="false">IFERROR(minifs('👥 Employee Data'!F:F,'👥 Employee Data'!D:D,A29),0)</f>
        <v>0</v>
      </c>
      <c r="C29" s="27" t="n">
        <f aca="false">IFERROR(AVERAGEIF('👥 Employee Data'!D:D,A29,'👥 Employee Data'!F:F),0)</f>
        <v>94772.7777777778</v>
      </c>
      <c r="D29" s="27" t="n">
        <f aca="false">IFERROR(maxifs('👥 Employee Data'!F:F,'👥 Employee Data'!D:D,A29),0)</f>
        <v>0</v>
      </c>
      <c r="E29" s="28" t="n">
        <f aca="false">COUNTIF('👥 Employee Data'!D:D,A29)</f>
        <v>9</v>
      </c>
      <c r="K29" s="29" t="s">
        <v>31</v>
      </c>
      <c r="L29" s="24" t="n">
        <f aca="false">COUNTIF('👥 Employee Data'!I:I,4)</f>
        <v>19</v>
      </c>
      <c r="M29" s="25" t="n">
        <f aca="false">IFERROR(L29/'👥 Employee Data'!B2,0)</f>
        <v>0.372549019607843</v>
      </c>
    </row>
    <row r="30" customFormat="false" ht="15.75" hidden="false" customHeight="true" outlineLevel="0" collapsed="false">
      <c r="A30" s="20" t="s">
        <v>11</v>
      </c>
      <c r="B30" s="21" t="n">
        <f aca="false">IFERROR(minifs('👥 Employee Data'!F:F,'👥 Employee Data'!D:D,A30),0)</f>
        <v>0</v>
      </c>
      <c r="C30" s="21" t="n">
        <f aca="false">IFERROR(AVERAGEIF('👥 Employee Data'!D:D,A30,'👥 Employee Data'!F:F),0)</f>
        <v>88747.3333333333</v>
      </c>
      <c r="D30" s="21" t="n">
        <f aca="false">IFERROR(maxifs('👥 Employee Data'!F:F,'👥 Employee Data'!D:D,A30),0)</f>
        <v>0</v>
      </c>
      <c r="E30" s="22" t="n">
        <f aca="false">COUNTIF('👥 Employee Data'!D:D,A30)</f>
        <v>3</v>
      </c>
      <c r="K30" s="30" t="s">
        <v>32</v>
      </c>
      <c r="L30" s="24" t="n">
        <f aca="false">COUNTIF('👥 Employee Data'!I:I,3)</f>
        <v>16</v>
      </c>
      <c r="M30" s="25" t="n">
        <f aca="false">IFERROR(L30/'👥 Employee Data'!B2,0)</f>
        <v>0.313725490196078</v>
      </c>
    </row>
    <row r="31" customFormat="false" ht="15.75" hidden="false" customHeight="true" outlineLevel="0" collapsed="false">
      <c r="A31" s="26" t="s">
        <v>13</v>
      </c>
      <c r="B31" s="27" t="n">
        <f aca="false">IFERROR(minifs('👥 Employee Data'!F:F,'👥 Employee Data'!D:D,A31),0)</f>
        <v>0</v>
      </c>
      <c r="C31" s="27" t="n">
        <f aca="false">IFERROR(AVERAGEIF('👥 Employee Data'!D:D,A31,'👥 Employee Data'!F:F),0)</f>
        <v>95281.6153846154</v>
      </c>
      <c r="D31" s="27" t="n">
        <f aca="false">IFERROR(maxifs('👥 Employee Data'!F:F,'👥 Employee Data'!D:D,A31),0)</f>
        <v>0</v>
      </c>
      <c r="E31" s="28" t="n">
        <f aca="false">COUNTIF('👥 Employee Data'!D:D,A31)</f>
        <v>13</v>
      </c>
      <c r="K31" s="31" t="s">
        <v>33</v>
      </c>
      <c r="L31" s="24" t="n">
        <f aca="false">COUNTIF('👥 Employee Data'!I:I,2)</f>
        <v>3</v>
      </c>
      <c r="M31" s="25" t="n">
        <f aca="false">IFERROR(L31/'👥 Employee Data'!B2,0)</f>
        <v>0.0588235294117647</v>
      </c>
    </row>
    <row r="32" customFormat="false" ht="15.75" hidden="false" customHeight="true" outlineLevel="0" collapsed="false">
      <c r="A32" s="20" t="s">
        <v>15</v>
      </c>
      <c r="B32" s="21" t="n">
        <f aca="false">IFERROR(minifs('👥 Employee Data'!F:F,'👥 Employee Data'!D:D,A32),0)</f>
        <v>0</v>
      </c>
      <c r="C32" s="21" t="n">
        <f aca="false">IFERROR(AVERAGEIF('👥 Employee Data'!D:D,A32,'👥 Employee Data'!F:F),0)</f>
        <v>79126.5</v>
      </c>
      <c r="D32" s="21" t="n">
        <f aca="false">IFERROR(maxifs('👥 Employee Data'!F:F,'👥 Employee Data'!D:D,A32),0)</f>
        <v>0</v>
      </c>
      <c r="E32" s="22" t="n">
        <f aca="false">COUNTIF('👥 Employee Data'!D:D,A32)</f>
        <v>4</v>
      </c>
      <c r="K32" s="32" t="s">
        <v>34</v>
      </c>
      <c r="L32" s="24" t="n">
        <f aca="false">COUNTIF('👥 Employee Data'!I:I,1)</f>
        <v>1</v>
      </c>
      <c r="M32" s="25" t="n">
        <f aca="false">IFERROR(L32/'👥 Employee Data'!B2,0)</f>
        <v>0.0196078431372549</v>
      </c>
    </row>
    <row r="33" customFormat="false" ht="15.75" hidden="false" customHeight="true" outlineLevel="0" collapsed="false">
      <c r="A33" s="26" t="s">
        <v>17</v>
      </c>
      <c r="B33" s="27" t="n">
        <f aca="false">IFERROR(minifs('👥 Employee Data'!F:F,'👥 Employee Data'!D:D,A33),0)</f>
        <v>0</v>
      </c>
      <c r="C33" s="27" t="n">
        <f aca="false">IFERROR(AVERAGEIF('👥 Employee Data'!D:D,A33,'👥 Employee Data'!F:F),0)</f>
        <v>86661.75</v>
      </c>
      <c r="D33" s="27" t="n">
        <f aca="false">IFERROR(maxifs('👥 Employee Data'!F:F,'👥 Employee Data'!D:D,A33),0)</f>
        <v>0</v>
      </c>
      <c r="E33" s="28" t="n">
        <f aca="false">COUNTIF('👥 Employee Data'!D:D,A33)</f>
        <v>4</v>
      </c>
    </row>
    <row r="34" customFormat="false" ht="15.75" hidden="false" customHeight="true" outlineLevel="0" collapsed="false">
      <c r="A34" s="20" t="s">
        <v>18</v>
      </c>
      <c r="B34" s="21" t="n">
        <f aca="false">IFERROR(minifs('👥 Employee Data'!F:F,'👥 Employee Data'!D:D,A34),0)</f>
        <v>0</v>
      </c>
      <c r="C34" s="21" t="n">
        <f aca="false">IFERROR(AVERAGEIF('👥 Employee Data'!D:D,A34,'👥 Employee Data'!F:F),0)</f>
        <v>106821.375</v>
      </c>
      <c r="D34" s="21" t="n">
        <f aca="false">IFERROR(maxifs('👥 Employee Data'!F:F,'👥 Employee Data'!D:D,A34),0)</f>
        <v>0</v>
      </c>
      <c r="E34" s="22" t="n">
        <f aca="false">COUNTIF('👥 Employee Data'!D:D,A34)</f>
        <v>8</v>
      </c>
    </row>
    <row r="35" customFormat="false" ht="15.75" hidden="false" customHeight="true" outlineLevel="0" collapsed="false">
      <c r="A35" s="26" t="s">
        <v>19</v>
      </c>
      <c r="B35" s="27" t="n">
        <f aca="false">IFERROR(minifs('👥 Employee Data'!F:F,'👥 Employee Data'!D:D,A35),0)</f>
        <v>0</v>
      </c>
      <c r="C35" s="27" t="n">
        <f aca="false">IFERROR(AVERAGEIF('👥 Employee Data'!D:D,A35,'👥 Employee Data'!F:F),0)</f>
        <v>92275.8333333333</v>
      </c>
      <c r="D35" s="27" t="n">
        <f aca="false">IFERROR(maxifs('👥 Employee Data'!F:F,'👥 Employee Data'!D:D,A35),0)</f>
        <v>0</v>
      </c>
      <c r="E35" s="28" t="n">
        <f aca="false">COUNTIF('👥 Employee Data'!D:D,A35)</f>
        <v>6</v>
      </c>
    </row>
  </sheetData>
  <mergeCells count="14">
    <mergeCell ref="A1:P1"/>
    <mergeCell ref="A2:P2"/>
    <mergeCell ref="A4:E4"/>
    <mergeCell ref="F4:J4"/>
    <mergeCell ref="K4:O4"/>
    <mergeCell ref="P4:T4"/>
    <mergeCell ref="A5:E6"/>
    <mergeCell ref="F5:J6"/>
    <mergeCell ref="K5:O6"/>
    <mergeCell ref="P5:T6"/>
    <mergeCell ref="A8:J8"/>
    <mergeCell ref="K8:T8"/>
    <mergeCell ref="A26:J26"/>
    <mergeCell ref="K26:T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A589"/>
    <pageSetUpPr fitToPage="false"/>
  </sheetPr>
  <dimension ref="A1: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3" min="12" style="0" width="13"/>
    <col collapsed="false" customWidth="true" hidden="false" outlineLevel="0" max="14" min="14" style="0" width="22"/>
  </cols>
  <sheetData>
    <row r="1" customFormat="false" ht="36" hidden="false" customHeight="true" outlineLevel="0" collapsed="false">
      <c r="A1" s="33" t="s">
        <v>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customFormat="false" ht="15" hidden="false" customHeight="false" outlineLevel="0" collapsed="false">
      <c r="A2" s="34" t="s">
        <v>36</v>
      </c>
      <c r="B2" s="35" t="n">
        <f aca="false">COUNTA(A6:A205)-0</f>
        <v>51</v>
      </c>
    </row>
    <row r="3" customFormat="false" ht="15" hidden="false" customHeight="false" outlineLevel="0" collapsed="false">
      <c r="A3" s="34" t="s">
        <v>24</v>
      </c>
      <c r="B3" s="36" t="n">
        <f aca="false">IFERROR(AVERAGE(F6:F205),0)</f>
        <v>95580.4</v>
      </c>
    </row>
    <row r="4" customFormat="false" ht="15" hidden="false" customHeight="false" outlineLevel="0" collapsed="false">
      <c r="A4" s="34" t="s">
        <v>37</v>
      </c>
      <c r="B4" s="37" t="n">
        <f aca="false">IFERROR(COUNTIF(K6:K205,"Inactive")/COUNTA(A6:A205),0)</f>
        <v>0.0980392156862745</v>
      </c>
    </row>
    <row r="5" customFormat="false" ht="7.5" hidden="false" customHeight="true" outlineLevel="0" collapsed="false">
      <c r="A5" s="34" t="s">
        <v>38</v>
      </c>
      <c r="B5" s="38" t="n">
        <f aca="false">IFERROR(AVERAGE(H6:H205),0)</f>
        <v>9.144</v>
      </c>
    </row>
    <row r="6" customFormat="false" ht="30" hidden="false" customHeight="true" outlineLevel="0" collapsed="false">
      <c r="A6" s="39" t="s">
        <v>39</v>
      </c>
      <c r="B6" s="39" t="s">
        <v>40</v>
      </c>
      <c r="C6" s="39" t="s">
        <v>41</v>
      </c>
      <c r="D6" s="39" t="s">
        <v>22</v>
      </c>
      <c r="E6" s="39" t="s">
        <v>42</v>
      </c>
      <c r="F6" s="39" t="s">
        <v>43</v>
      </c>
      <c r="G6" s="39" t="s">
        <v>44</v>
      </c>
      <c r="H6" s="39" t="s">
        <v>45</v>
      </c>
      <c r="I6" s="39" t="s">
        <v>46</v>
      </c>
      <c r="J6" s="39" t="s">
        <v>47</v>
      </c>
      <c r="K6" s="39" t="s">
        <v>48</v>
      </c>
      <c r="L6" s="39" t="s">
        <v>49</v>
      </c>
      <c r="M6" s="39" t="s">
        <v>50</v>
      </c>
      <c r="N6" s="39" t="s">
        <v>51</v>
      </c>
    </row>
    <row r="7" customFormat="false" ht="15.75" hidden="false" customHeight="true" outlineLevel="0" collapsed="false">
      <c r="A7" s="40" t="s">
        <v>52</v>
      </c>
      <c r="B7" s="41" t="s">
        <v>53</v>
      </c>
      <c r="C7" s="41" t="s">
        <v>54</v>
      </c>
      <c r="D7" s="40" t="s">
        <v>9</v>
      </c>
      <c r="E7" s="40" t="s">
        <v>55</v>
      </c>
      <c r="F7" s="42" t="n">
        <v>113598</v>
      </c>
      <c r="G7" s="40" t="n">
        <v>40</v>
      </c>
      <c r="H7" s="43" t="n">
        <v>4.8</v>
      </c>
      <c r="I7" s="40" t="n">
        <v>3</v>
      </c>
      <c r="J7" s="40" t="s">
        <v>56</v>
      </c>
      <c r="K7" s="44" t="s">
        <v>57</v>
      </c>
      <c r="L7" s="45" t="n">
        <v>44442</v>
      </c>
      <c r="M7" s="45" t="n">
        <v>45944</v>
      </c>
      <c r="N7" s="41" t="s">
        <v>58</v>
      </c>
    </row>
    <row r="8" customFormat="false" ht="15.75" hidden="false" customHeight="true" outlineLevel="0" collapsed="false">
      <c r="A8" s="46" t="s">
        <v>59</v>
      </c>
      <c r="B8" s="47" t="s">
        <v>60</v>
      </c>
      <c r="C8" s="47" t="s">
        <v>61</v>
      </c>
      <c r="D8" s="46" t="s">
        <v>13</v>
      </c>
      <c r="E8" s="46" t="s">
        <v>62</v>
      </c>
      <c r="F8" s="48" t="n">
        <v>109453</v>
      </c>
      <c r="G8" s="46" t="n">
        <v>24</v>
      </c>
      <c r="H8" s="49" t="n">
        <v>10.3</v>
      </c>
      <c r="I8" s="46" t="n">
        <v>4</v>
      </c>
      <c r="J8" s="46" t="s">
        <v>63</v>
      </c>
      <c r="K8" s="44" t="s">
        <v>57</v>
      </c>
      <c r="L8" s="50" t="n">
        <v>42109</v>
      </c>
      <c r="M8" s="50" t="n">
        <v>45939</v>
      </c>
      <c r="N8" s="47" t="s">
        <v>64</v>
      </c>
    </row>
    <row r="9" customFormat="false" ht="15.75" hidden="false" customHeight="true" outlineLevel="0" collapsed="false">
      <c r="A9" s="40" t="s">
        <v>65</v>
      </c>
      <c r="B9" s="41" t="s">
        <v>66</v>
      </c>
      <c r="C9" s="41" t="s">
        <v>67</v>
      </c>
      <c r="D9" s="40" t="s">
        <v>17</v>
      </c>
      <c r="E9" s="40" t="s">
        <v>68</v>
      </c>
      <c r="F9" s="42" t="n">
        <v>68189</v>
      </c>
      <c r="G9" s="40" t="n">
        <v>36</v>
      </c>
      <c r="H9" s="43" t="n">
        <v>17.3</v>
      </c>
      <c r="I9" s="40" t="n">
        <v>3</v>
      </c>
      <c r="J9" s="40" t="s">
        <v>56</v>
      </c>
      <c r="K9" s="44" t="s">
        <v>57</v>
      </c>
      <c r="L9" s="45" t="n">
        <v>39627</v>
      </c>
      <c r="M9" s="45" t="n">
        <v>45828</v>
      </c>
      <c r="N9" s="41" t="s">
        <v>69</v>
      </c>
    </row>
    <row r="10" customFormat="false" ht="15.75" hidden="false" customHeight="true" outlineLevel="0" collapsed="false">
      <c r="A10" s="46" t="s">
        <v>70</v>
      </c>
      <c r="B10" s="47" t="s">
        <v>71</v>
      </c>
      <c r="C10" s="47" t="s">
        <v>72</v>
      </c>
      <c r="D10" s="46" t="s">
        <v>18</v>
      </c>
      <c r="E10" s="46" t="s">
        <v>68</v>
      </c>
      <c r="F10" s="48" t="n">
        <v>116178</v>
      </c>
      <c r="G10" s="46" t="n">
        <v>41</v>
      </c>
      <c r="H10" s="49" t="n">
        <v>15</v>
      </c>
      <c r="I10" s="46" t="n">
        <v>4</v>
      </c>
      <c r="J10" s="46" t="s">
        <v>73</v>
      </c>
      <c r="K10" s="44" t="s">
        <v>57</v>
      </c>
      <c r="L10" s="50" t="n">
        <v>40515</v>
      </c>
      <c r="M10" s="50" t="n">
        <v>45679</v>
      </c>
      <c r="N10" s="47" t="s">
        <v>74</v>
      </c>
    </row>
    <row r="11" customFormat="false" ht="15.75" hidden="false" customHeight="true" outlineLevel="0" collapsed="false">
      <c r="A11" s="40" t="s">
        <v>75</v>
      </c>
      <c r="B11" s="41" t="s">
        <v>76</v>
      </c>
      <c r="C11" s="41" t="s">
        <v>77</v>
      </c>
      <c r="D11" s="40" t="s">
        <v>13</v>
      </c>
      <c r="E11" s="40" t="s">
        <v>78</v>
      </c>
      <c r="F11" s="42" t="n">
        <v>94911</v>
      </c>
      <c r="G11" s="40" t="n">
        <v>40</v>
      </c>
      <c r="H11" s="43" t="n">
        <v>8.4</v>
      </c>
      <c r="I11" s="40" t="n">
        <v>4</v>
      </c>
      <c r="J11" s="40" t="s">
        <v>56</v>
      </c>
      <c r="K11" s="44" t="s">
        <v>57</v>
      </c>
      <c r="L11" s="45" t="n">
        <v>42847</v>
      </c>
      <c r="M11" s="45" t="n">
        <v>45800</v>
      </c>
      <c r="N11" s="41" t="s">
        <v>58</v>
      </c>
    </row>
    <row r="12" customFormat="false" ht="15.75" hidden="false" customHeight="true" outlineLevel="0" collapsed="false">
      <c r="A12" s="46" t="s">
        <v>79</v>
      </c>
      <c r="B12" s="47" t="s">
        <v>80</v>
      </c>
      <c r="C12" s="47" t="s">
        <v>81</v>
      </c>
      <c r="D12" s="46" t="s">
        <v>13</v>
      </c>
      <c r="E12" s="46" t="s">
        <v>82</v>
      </c>
      <c r="F12" s="48" t="n">
        <v>100294</v>
      </c>
      <c r="G12" s="46" t="n">
        <v>47</v>
      </c>
      <c r="H12" s="49" t="n">
        <v>5.2</v>
      </c>
      <c r="I12" s="46" t="n">
        <v>5</v>
      </c>
      <c r="J12" s="46" t="s">
        <v>63</v>
      </c>
      <c r="K12" s="44" t="s">
        <v>57</v>
      </c>
      <c r="L12" s="50" t="n">
        <v>44146</v>
      </c>
      <c r="M12" s="50" t="n">
        <v>45665</v>
      </c>
      <c r="N12" s="47" t="s">
        <v>83</v>
      </c>
    </row>
    <row r="13" customFormat="false" ht="15.75" hidden="false" customHeight="true" outlineLevel="0" collapsed="false">
      <c r="A13" s="40" t="s">
        <v>84</v>
      </c>
      <c r="B13" s="41" t="s">
        <v>85</v>
      </c>
      <c r="C13" s="41" t="s">
        <v>86</v>
      </c>
      <c r="D13" s="40" t="s">
        <v>9</v>
      </c>
      <c r="E13" s="40" t="s">
        <v>62</v>
      </c>
      <c r="F13" s="42" t="n">
        <v>102170</v>
      </c>
      <c r="G13" s="40" t="n">
        <v>43</v>
      </c>
      <c r="H13" s="43" t="n">
        <v>4.2</v>
      </c>
      <c r="I13" s="40" t="n">
        <v>3</v>
      </c>
      <c r="J13" s="40" t="s">
        <v>63</v>
      </c>
      <c r="K13" s="44" t="s">
        <v>57</v>
      </c>
      <c r="L13" s="45" t="n">
        <v>44321</v>
      </c>
      <c r="M13" s="45" t="n">
        <v>45771</v>
      </c>
      <c r="N13" s="41" t="s">
        <v>74</v>
      </c>
    </row>
    <row r="14" customFormat="false" ht="15.75" hidden="false" customHeight="true" outlineLevel="0" collapsed="false">
      <c r="A14" s="46" t="s">
        <v>87</v>
      </c>
      <c r="B14" s="47" t="s">
        <v>88</v>
      </c>
      <c r="C14" s="47" t="s">
        <v>89</v>
      </c>
      <c r="D14" s="46" t="s">
        <v>18</v>
      </c>
      <c r="E14" s="46" t="s">
        <v>62</v>
      </c>
      <c r="F14" s="48" t="n">
        <v>94373</v>
      </c>
      <c r="G14" s="46" t="n">
        <v>31</v>
      </c>
      <c r="H14" s="49" t="n">
        <v>9.4</v>
      </c>
      <c r="I14" s="46" t="n">
        <v>2</v>
      </c>
      <c r="J14" s="46" t="s">
        <v>56</v>
      </c>
      <c r="K14" s="51" t="s">
        <v>90</v>
      </c>
      <c r="L14" s="50" t="n">
        <v>42450</v>
      </c>
      <c r="M14" s="50" t="n">
        <v>45742</v>
      </c>
      <c r="N14" s="47" t="s">
        <v>58</v>
      </c>
    </row>
    <row r="15" customFormat="false" ht="15.75" hidden="false" customHeight="true" outlineLevel="0" collapsed="false">
      <c r="A15" s="40" t="s">
        <v>91</v>
      </c>
      <c r="B15" s="41" t="s">
        <v>92</v>
      </c>
      <c r="C15" s="41" t="s">
        <v>93</v>
      </c>
      <c r="D15" s="40" t="s">
        <v>18</v>
      </c>
      <c r="E15" s="40" t="s">
        <v>68</v>
      </c>
      <c r="F15" s="42" t="n">
        <v>110674</v>
      </c>
      <c r="G15" s="40" t="n">
        <v>56</v>
      </c>
      <c r="H15" s="43" t="n">
        <v>4.9</v>
      </c>
      <c r="I15" s="40" t="n">
        <v>4</v>
      </c>
      <c r="J15" s="40" t="s">
        <v>56</v>
      </c>
      <c r="K15" s="44" t="s">
        <v>57</v>
      </c>
      <c r="L15" s="45" t="n">
        <v>44249</v>
      </c>
      <c r="M15" s="45" t="n">
        <v>45925</v>
      </c>
      <c r="N15" s="41" t="s">
        <v>94</v>
      </c>
    </row>
    <row r="16" customFormat="false" ht="15.75" hidden="false" customHeight="true" outlineLevel="0" collapsed="false">
      <c r="A16" s="46" t="s">
        <v>95</v>
      </c>
      <c r="B16" s="47" t="s">
        <v>96</v>
      </c>
      <c r="C16" s="47" t="s">
        <v>97</v>
      </c>
      <c r="D16" s="46" t="s">
        <v>15</v>
      </c>
      <c r="E16" s="46" t="s">
        <v>55</v>
      </c>
      <c r="F16" s="48" t="n">
        <v>70365</v>
      </c>
      <c r="G16" s="46" t="n">
        <v>52</v>
      </c>
      <c r="H16" s="49" t="n">
        <v>0.6</v>
      </c>
      <c r="I16" s="46" t="n">
        <v>4</v>
      </c>
      <c r="J16" s="46" t="s">
        <v>63</v>
      </c>
      <c r="K16" s="44" t="s">
        <v>57</v>
      </c>
      <c r="L16" s="50" t="n">
        <v>45925</v>
      </c>
      <c r="M16" s="50" t="n">
        <v>45733</v>
      </c>
      <c r="N16" s="47" t="s">
        <v>74</v>
      </c>
    </row>
    <row r="17" customFormat="false" ht="15.75" hidden="false" customHeight="true" outlineLevel="0" collapsed="false">
      <c r="A17" s="40" t="s">
        <v>98</v>
      </c>
      <c r="B17" s="41" t="s">
        <v>99</v>
      </c>
      <c r="C17" s="41" t="s">
        <v>100</v>
      </c>
      <c r="D17" s="40" t="s">
        <v>11</v>
      </c>
      <c r="E17" s="40" t="s">
        <v>55</v>
      </c>
      <c r="F17" s="42" t="n">
        <v>104971</v>
      </c>
      <c r="G17" s="40" t="n">
        <v>33</v>
      </c>
      <c r="H17" s="43" t="n">
        <v>9.9</v>
      </c>
      <c r="I17" s="40" t="n">
        <v>4</v>
      </c>
      <c r="J17" s="40" t="s">
        <v>63</v>
      </c>
      <c r="K17" s="51" t="s">
        <v>90</v>
      </c>
      <c r="L17" s="45" t="n">
        <v>42654</v>
      </c>
      <c r="M17" s="45" t="n">
        <v>45870</v>
      </c>
      <c r="N17" s="41" t="s">
        <v>74</v>
      </c>
    </row>
    <row r="18" customFormat="false" ht="15.75" hidden="false" customHeight="true" outlineLevel="0" collapsed="false">
      <c r="A18" s="46" t="s">
        <v>101</v>
      </c>
      <c r="B18" s="47" t="s">
        <v>102</v>
      </c>
      <c r="C18" s="47" t="s">
        <v>103</v>
      </c>
      <c r="D18" s="46" t="s">
        <v>7</v>
      </c>
      <c r="E18" s="46" t="s">
        <v>82</v>
      </c>
      <c r="F18" s="48" t="n">
        <v>122182</v>
      </c>
      <c r="G18" s="46" t="n">
        <v>28</v>
      </c>
      <c r="H18" s="49" t="n">
        <v>2</v>
      </c>
      <c r="I18" s="46" t="n">
        <v>3</v>
      </c>
      <c r="J18" s="46" t="s">
        <v>56</v>
      </c>
      <c r="K18" s="51" t="s">
        <v>90</v>
      </c>
      <c r="L18" s="50" t="n">
        <v>45194</v>
      </c>
      <c r="M18" s="50" t="n">
        <v>45721</v>
      </c>
      <c r="N18" s="47" t="s">
        <v>64</v>
      </c>
    </row>
    <row r="19" customFormat="false" ht="15.75" hidden="false" customHeight="true" outlineLevel="0" collapsed="false">
      <c r="A19" s="40" t="s">
        <v>104</v>
      </c>
      <c r="B19" s="41" t="s">
        <v>105</v>
      </c>
      <c r="C19" s="41" t="s">
        <v>106</v>
      </c>
      <c r="D19" s="40" t="s">
        <v>18</v>
      </c>
      <c r="E19" s="40" t="s">
        <v>107</v>
      </c>
      <c r="F19" s="42" t="n">
        <v>115343</v>
      </c>
      <c r="G19" s="40" t="n">
        <v>35</v>
      </c>
      <c r="H19" s="43" t="n">
        <v>13</v>
      </c>
      <c r="I19" s="40" t="n">
        <v>3</v>
      </c>
      <c r="J19" s="40" t="s">
        <v>63</v>
      </c>
      <c r="K19" s="44" t="s">
        <v>57</v>
      </c>
      <c r="L19" s="45" t="n">
        <v>41138</v>
      </c>
      <c r="M19" s="45" t="n">
        <v>45873</v>
      </c>
      <c r="N19" s="41" t="s">
        <v>58</v>
      </c>
    </row>
    <row r="20" customFormat="false" ht="15.75" hidden="false" customHeight="true" outlineLevel="0" collapsed="false">
      <c r="A20" s="46" t="s">
        <v>108</v>
      </c>
      <c r="B20" s="47" t="s">
        <v>109</v>
      </c>
      <c r="C20" s="47" t="s">
        <v>110</v>
      </c>
      <c r="D20" s="46" t="s">
        <v>7</v>
      </c>
      <c r="E20" s="46" t="s">
        <v>82</v>
      </c>
      <c r="F20" s="48" t="n">
        <v>121301</v>
      </c>
      <c r="G20" s="46" t="n">
        <v>37</v>
      </c>
      <c r="H20" s="49" t="n">
        <v>10.8</v>
      </c>
      <c r="I20" s="46" t="n">
        <v>1</v>
      </c>
      <c r="J20" s="46" t="s">
        <v>63</v>
      </c>
      <c r="K20" s="44" t="s">
        <v>57</v>
      </c>
      <c r="L20" s="50" t="n">
        <v>42097</v>
      </c>
      <c r="M20" s="50" t="n">
        <v>45685</v>
      </c>
      <c r="N20" s="47" t="s">
        <v>111</v>
      </c>
    </row>
    <row r="21" customFormat="false" ht="15.75" hidden="false" customHeight="true" outlineLevel="0" collapsed="false">
      <c r="A21" s="40" t="s">
        <v>112</v>
      </c>
      <c r="B21" s="41" t="s">
        <v>113</v>
      </c>
      <c r="C21" s="41" t="s">
        <v>114</v>
      </c>
      <c r="D21" s="40" t="s">
        <v>19</v>
      </c>
      <c r="E21" s="40" t="s">
        <v>107</v>
      </c>
      <c r="F21" s="42" t="n">
        <v>97339</v>
      </c>
      <c r="G21" s="40" t="n">
        <v>31</v>
      </c>
      <c r="H21" s="43" t="n">
        <v>13.2</v>
      </c>
      <c r="I21" s="40" t="n">
        <v>5</v>
      </c>
      <c r="J21" s="40" t="s">
        <v>63</v>
      </c>
      <c r="K21" s="44" t="s">
        <v>57</v>
      </c>
      <c r="L21" s="45" t="n">
        <v>41147</v>
      </c>
      <c r="M21" s="45" t="n">
        <v>45845</v>
      </c>
      <c r="N21" s="41" t="s">
        <v>83</v>
      </c>
    </row>
    <row r="22" customFormat="false" ht="15.75" hidden="false" customHeight="true" outlineLevel="0" collapsed="false">
      <c r="A22" s="46" t="s">
        <v>115</v>
      </c>
      <c r="B22" s="47" t="s">
        <v>116</v>
      </c>
      <c r="C22" s="47" t="s">
        <v>117</v>
      </c>
      <c r="D22" s="46" t="s">
        <v>18</v>
      </c>
      <c r="E22" s="46" t="s">
        <v>78</v>
      </c>
      <c r="F22" s="48" t="n">
        <v>110606</v>
      </c>
      <c r="G22" s="46" t="n">
        <v>26</v>
      </c>
      <c r="H22" s="49" t="n">
        <v>12.3</v>
      </c>
      <c r="I22" s="46" t="n">
        <v>5</v>
      </c>
      <c r="J22" s="46" t="s">
        <v>56</v>
      </c>
      <c r="K22" s="44" t="s">
        <v>57</v>
      </c>
      <c r="L22" s="50" t="n">
        <v>41619</v>
      </c>
      <c r="M22" s="50" t="n">
        <v>45696</v>
      </c>
      <c r="N22" s="47" t="s">
        <v>69</v>
      </c>
    </row>
    <row r="23" customFormat="false" ht="15.75" hidden="false" customHeight="true" outlineLevel="0" collapsed="false">
      <c r="A23" s="40" t="s">
        <v>118</v>
      </c>
      <c r="B23" s="41" t="s">
        <v>119</v>
      </c>
      <c r="C23" s="41" t="s">
        <v>106</v>
      </c>
      <c r="D23" s="40" t="s">
        <v>18</v>
      </c>
      <c r="E23" s="40" t="s">
        <v>55</v>
      </c>
      <c r="F23" s="42" t="n">
        <v>98254</v>
      </c>
      <c r="G23" s="40" t="n">
        <v>52</v>
      </c>
      <c r="H23" s="43" t="n">
        <v>4.9</v>
      </c>
      <c r="I23" s="40" t="n">
        <v>5</v>
      </c>
      <c r="J23" s="40" t="s">
        <v>73</v>
      </c>
      <c r="K23" s="44" t="s">
        <v>57</v>
      </c>
      <c r="L23" s="45" t="n">
        <v>44443</v>
      </c>
      <c r="M23" s="45" t="n">
        <v>45678</v>
      </c>
      <c r="N23" s="41" t="s">
        <v>58</v>
      </c>
    </row>
    <row r="24" customFormat="false" ht="15.75" hidden="false" customHeight="true" outlineLevel="0" collapsed="false">
      <c r="A24" s="46" t="s">
        <v>120</v>
      </c>
      <c r="B24" s="47" t="s">
        <v>121</v>
      </c>
      <c r="C24" s="47" t="s">
        <v>122</v>
      </c>
      <c r="D24" s="46" t="s">
        <v>11</v>
      </c>
      <c r="E24" s="46" t="s">
        <v>123</v>
      </c>
      <c r="F24" s="48" t="n">
        <v>86826</v>
      </c>
      <c r="G24" s="46" t="n">
        <v>53</v>
      </c>
      <c r="H24" s="49" t="n">
        <v>4.2</v>
      </c>
      <c r="I24" s="46" t="n">
        <v>3</v>
      </c>
      <c r="J24" s="46" t="s">
        <v>56</v>
      </c>
      <c r="K24" s="44" t="s">
        <v>57</v>
      </c>
      <c r="L24" s="50" t="n">
        <v>44209</v>
      </c>
      <c r="M24" s="50" t="n">
        <v>45803</v>
      </c>
      <c r="N24" s="47" t="s">
        <v>83</v>
      </c>
    </row>
    <row r="25" customFormat="false" ht="15.75" hidden="false" customHeight="true" outlineLevel="0" collapsed="false">
      <c r="A25" s="40" t="s">
        <v>124</v>
      </c>
      <c r="B25" s="41" t="s">
        <v>125</v>
      </c>
      <c r="C25" s="41" t="s">
        <v>126</v>
      </c>
      <c r="D25" s="40" t="s">
        <v>11</v>
      </c>
      <c r="E25" s="40" t="s">
        <v>127</v>
      </c>
      <c r="F25" s="42" t="n">
        <v>74445</v>
      </c>
      <c r="G25" s="40" t="n">
        <v>36</v>
      </c>
      <c r="H25" s="43" t="n">
        <v>17.5</v>
      </c>
      <c r="I25" s="40" t="n">
        <v>4</v>
      </c>
      <c r="J25" s="40" t="s">
        <v>63</v>
      </c>
      <c r="K25" s="44" t="s">
        <v>57</v>
      </c>
      <c r="L25" s="45" t="n">
        <v>39601</v>
      </c>
      <c r="M25" s="45" t="n">
        <v>45676</v>
      </c>
      <c r="N25" s="41" t="s">
        <v>64</v>
      </c>
    </row>
    <row r="26" customFormat="false" ht="15.75" hidden="false" customHeight="true" outlineLevel="0" collapsed="false">
      <c r="A26" s="46" t="s">
        <v>128</v>
      </c>
      <c r="B26" s="47" t="s">
        <v>129</v>
      </c>
      <c r="C26" s="47" t="s">
        <v>86</v>
      </c>
      <c r="D26" s="46" t="s">
        <v>9</v>
      </c>
      <c r="E26" s="46" t="s">
        <v>62</v>
      </c>
      <c r="F26" s="48" t="n">
        <v>69490</v>
      </c>
      <c r="G26" s="46" t="n">
        <v>61</v>
      </c>
      <c r="H26" s="49" t="n">
        <v>1.7</v>
      </c>
      <c r="I26" s="46" t="n">
        <v>5</v>
      </c>
      <c r="J26" s="46" t="s">
        <v>73</v>
      </c>
      <c r="K26" s="44" t="s">
        <v>57</v>
      </c>
      <c r="L26" s="50" t="n">
        <v>45573</v>
      </c>
      <c r="M26" s="50" t="n">
        <v>45950</v>
      </c>
      <c r="N26" s="47" t="s">
        <v>58</v>
      </c>
    </row>
    <row r="27" customFormat="false" ht="15.75" hidden="false" customHeight="true" outlineLevel="0" collapsed="false">
      <c r="A27" s="40" t="s">
        <v>130</v>
      </c>
      <c r="B27" s="41" t="s">
        <v>131</v>
      </c>
      <c r="C27" s="41" t="s">
        <v>67</v>
      </c>
      <c r="D27" s="40" t="s">
        <v>17</v>
      </c>
      <c r="E27" s="40" t="s">
        <v>68</v>
      </c>
      <c r="F27" s="42" t="n">
        <v>71386</v>
      </c>
      <c r="G27" s="40" t="n">
        <v>43</v>
      </c>
      <c r="H27" s="43" t="n">
        <v>4.7</v>
      </c>
      <c r="I27" s="40" t="n">
        <v>3</v>
      </c>
      <c r="J27" s="40" t="s">
        <v>63</v>
      </c>
      <c r="K27" s="44" t="s">
        <v>57</v>
      </c>
      <c r="L27" s="45" t="n">
        <v>44419</v>
      </c>
      <c r="M27" s="45" t="n">
        <v>45689</v>
      </c>
      <c r="N27" s="41" t="s">
        <v>58</v>
      </c>
    </row>
    <row r="28" customFormat="false" ht="15.75" hidden="false" customHeight="true" outlineLevel="0" collapsed="false">
      <c r="A28" s="46" t="s">
        <v>132</v>
      </c>
      <c r="B28" s="47" t="s">
        <v>133</v>
      </c>
      <c r="C28" s="47" t="s">
        <v>61</v>
      </c>
      <c r="D28" s="46" t="s">
        <v>13</v>
      </c>
      <c r="E28" s="46" t="s">
        <v>82</v>
      </c>
      <c r="F28" s="48" t="n">
        <v>87380</v>
      </c>
      <c r="G28" s="46" t="n">
        <v>31</v>
      </c>
      <c r="H28" s="49" t="n">
        <v>16.8</v>
      </c>
      <c r="I28" s="46" t="n">
        <v>5</v>
      </c>
      <c r="J28" s="46" t="s">
        <v>56</v>
      </c>
      <c r="K28" s="44" t="s">
        <v>57</v>
      </c>
      <c r="L28" s="50" t="n">
        <v>39887</v>
      </c>
      <c r="M28" s="50" t="n">
        <v>45923</v>
      </c>
      <c r="N28" s="47" t="s">
        <v>134</v>
      </c>
    </row>
    <row r="29" customFormat="false" ht="15.75" hidden="false" customHeight="true" outlineLevel="0" collapsed="false">
      <c r="A29" s="40" t="s">
        <v>135</v>
      </c>
      <c r="B29" s="41" t="s">
        <v>136</v>
      </c>
      <c r="C29" s="41" t="s">
        <v>86</v>
      </c>
      <c r="D29" s="40" t="s">
        <v>9</v>
      </c>
      <c r="E29" s="40" t="s">
        <v>123</v>
      </c>
      <c r="F29" s="42" t="n">
        <v>82332</v>
      </c>
      <c r="G29" s="40" t="n">
        <v>30</v>
      </c>
      <c r="H29" s="43" t="n">
        <v>16.1</v>
      </c>
      <c r="I29" s="40" t="n">
        <v>4</v>
      </c>
      <c r="J29" s="40" t="s">
        <v>56</v>
      </c>
      <c r="K29" s="44" t="s">
        <v>57</v>
      </c>
      <c r="L29" s="45" t="n">
        <v>40093</v>
      </c>
      <c r="M29" s="45" t="n">
        <v>46002</v>
      </c>
      <c r="N29" s="41" t="s">
        <v>74</v>
      </c>
    </row>
    <row r="30" customFormat="false" ht="15.75" hidden="false" customHeight="true" outlineLevel="0" collapsed="false">
      <c r="A30" s="46" t="s">
        <v>137</v>
      </c>
      <c r="B30" s="47" t="s">
        <v>138</v>
      </c>
      <c r="C30" s="47" t="s">
        <v>139</v>
      </c>
      <c r="D30" s="46" t="s">
        <v>15</v>
      </c>
      <c r="E30" s="46" t="s">
        <v>127</v>
      </c>
      <c r="F30" s="48" t="n">
        <v>66048</v>
      </c>
      <c r="G30" s="46" t="n">
        <v>50</v>
      </c>
      <c r="H30" s="49" t="n">
        <v>15</v>
      </c>
      <c r="I30" s="46" t="n">
        <v>2</v>
      </c>
      <c r="J30" s="46" t="s">
        <v>73</v>
      </c>
      <c r="K30" s="44" t="s">
        <v>57</v>
      </c>
      <c r="L30" s="50" t="n">
        <v>40491</v>
      </c>
      <c r="M30" s="50" t="n">
        <v>45740</v>
      </c>
      <c r="N30" s="47" t="s">
        <v>83</v>
      </c>
    </row>
    <row r="31" customFormat="false" ht="15.75" hidden="false" customHeight="true" outlineLevel="0" collapsed="false">
      <c r="A31" s="40" t="s">
        <v>140</v>
      </c>
      <c r="B31" s="41" t="s">
        <v>141</v>
      </c>
      <c r="C31" s="41" t="s">
        <v>54</v>
      </c>
      <c r="D31" s="40" t="s">
        <v>9</v>
      </c>
      <c r="E31" s="40" t="s">
        <v>55</v>
      </c>
      <c r="F31" s="42" t="n">
        <v>110286</v>
      </c>
      <c r="G31" s="40" t="n">
        <v>32</v>
      </c>
      <c r="H31" s="43" t="n">
        <v>10</v>
      </c>
      <c r="I31" s="40" t="n">
        <v>4</v>
      </c>
      <c r="J31" s="40" t="s">
        <v>63</v>
      </c>
      <c r="K31" s="44" t="s">
        <v>57</v>
      </c>
      <c r="L31" s="45" t="n">
        <v>42190</v>
      </c>
      <c r="M31" s="45" t="n">
        <v>45667</v>
      </c>
      <c r="N31" s="41" t="s">
        <v>94</v>
      </c>
    </row>
    <row r="32" customFormat="false" ht="15.75" hidden="false" customHeight="true" outlineLevel="0" collapsed="false">
      <c r="A32" s="46" t="s">
        <v>142</v>
      </c>
      <c r="B32" s="47" t="s">
        <v>143</v>
      </c>
      <c r="C32" s="47" t="s">
        <v>77</v>
      </c>
      <c r="D32" s="46" t="s">
        <v>13</v>
      </c>
      <c r="E32" s="46" t="s">
        <v>78</v>
      </c>
      <c r="F32" s="48" t="n">
        <v>93178</v>
      </c>
      <c r="G32" s="46" t="n">
        <v>58</v>
      </c>
      <c r="H32" s="49" t="n">
        <v>16</v>
      </c>
      <c r="I32" s="46" t="n">
        <v>3</v>
      </c>
      <c r="J32" s="46" t="s">
        <v>63</v>
      </c>
      <c r="K32" s="44" t="s">
        <v>57</v>
      </c>
      <c r="L32" s="50" t="n">
        <v>39931</v>
      </c>
      <c r="M32" s="50" t="n">
        <v>45742</v>
      </c>
      <c r="N32" s="47" t="s">
        <v>134</v>
      </c>
    </row>
    <row r="33" customFormat="false" ht="15.75" hidden="false" customHeight="true" outlineLevel="0" collapsed="false">
      <c r="A33" s="40" t="s">
        <v>144</v>
      </c>
      <c r="B33" s="41" t="s">
        <v>145</v>
      </c>
      <c r="C33" s="41" t="s">
        <v>146</v>
      </c>
      <c r="D33" s="40" t="s">
        <v>17</v>
      </c>
      <c r="E33" s="40" t="s">
        <v>82</v>
      </c>
      <c r="F33" s="42" t="n">
        <v>101903</v>
      </c>
      <c r="G33" s="40" t="n">
        <v>38</v>
      </c>
      <c r="H33" s="43" t="n">
        <v>5.2</v>
      </c>
      <c r="I33" s="40" t="n">
        <v>4</v>
      </c>
      <c r="J33" s="40" t="s">
        <v>56</v>
      </c>
      <c r="K33" s="44" t="s">
        <v>57</v>
      </c>
      <c r="L33" s="45" t="n">
        <v>43858</v>
      </c>
      <c r="M33" s="45" t="n">
        <v>45877</v>
      </c>
      <c r="N33" s="41" t="s">
        <v>94</v>
      </c>
    </row>
    <row r="34" customFormat="false" ht="15.75" hidden="false" customHeight="true" outlineLevel="0" collapsed="false">
      <c r="A34" s="46" t="s">
        <v>147</v>
      </c>
      <c r="B34" s="47" t="s">
        <v>148</v>
      </c>
      <c r="C34" s="47" t="s">
        <v>81</v>
      </c>
      <c r="D34" s="46" t="s">
        <v>13</v>
      </c>
      <c r="E34" s="46" t="s">
        <v>127</v>
      </c>
      <c r="F34" s="48" t="n">
        <v>71550</v>
      </c>
      <c r="G34" s="46" t="n">
        <v>35</v>
      </c>
      <c r="H34" s="49" t="n">
        <v>7.5</v>
      </c>
      <c r="I34" s="46" t="n">
        <v>3</v>
      </c>
      <c r="J34" s="46" t="s">
        <v>56</v>
      </c>
      <c r="K34" s="51" t="s">
        <v>90</v>
      </c>
      <c r="L34" s="50" t="n">
        <v>43232</v>
      </c>
      <c r="M34" s="50" t="n">
        <v>45978</v>
      </c>
      <c r="N34" s="47" t="s">
        <v>94</v>
      </c>
    </row>
    <row r="35" customFormat="false" ht="15.75" hidden="false" customHeight="true" outlineLevel="0" collapsed="false">
      <c r="A35" s="40" t="s">
        <v>149</v>
      </c>
      <c r="B35" s="41" t="s">
        <v>150</v>
      </c>
      <c r="C35" s="41" t="s">
        <v>151</v>
      </c>
      <c r="D35" s="40" t="s">
        <v>9</v>
      </c>
      <c r="E35" s="40" t="s">
        <v>62</v>
      </c>
      <c r="F35" s="42" t="n">
        <v>76702</v>
      </c>
      <c r="G35" s="40" t="n">
        <v>60</v>
      </c>
      <c r="H35" s="43" t="n">
        <v>17.3</v>
      </c>
      <c r="I35" s="40" t="n">
        <v>3</v>
      </c>
      <c r="J35" s="40" t="s">
        <v>56</v>
      </c>
      <c r="K35" s="44" t="s">
        <v>57</v>
      </c>
      <c r="L35" s="45" t="n">
        <v>39623</v>
      </c>
      <c r="M35" s="45" t="n">
        <v>45822</v>
      </c>
      <c r="N35" s="41" t="s">
        <v>58</v>
      </c>
    </row>
    <row r="36" customFormat="false" ht="15.75" hidden="false" customHeight="true" outlineLevel="0" collapsed="false">
      <c r="A36" s="46" t="s">
        <v>152</v>
      </c>
      <c r="B36" s="47" t="s">
        <v>153</v>
      </c>
      <c r="C36" s="47" t="s">
        <v>154</v>
      </c>
      <c r="D36" s="46" t="s">
        <v>13</v>
      </c>
      <c r="E36" s="46" t="s">
        <v>107</v>
      </c>
      <c r="F36" s="48" t="n">
        <v>72908</v>
      </c>
      <c r="G36" s="46" t="n">
        <v>50</v>
      </c>
      <c r="H36" s="49" t="n">
        <v>0.5</v>
      </c>
      <c r="I36" s="46" t="n">
        <v>5</v>
      </c>
      <c r="J36" s="46" t="s">
        <v>63</v>
      </c>
      <c r="K36" s="44" t="s">
        <v>57</v>
      </c>
      <c r="L36" s="50" t="n">
        <v>46015</v>
      </c>
      <c r="M36" s="50" t="n">
        <v>45968</v>
      </c>
      <c r="N36" s="47" t="s">
        <v>58</v>
      </c>
    </row>
    <row r="37" customFormat="false" ht="15.75" hidden="false" customHeight="true" outlineLevel="0" collapsed="false">
      <c r="A37" s="40" t="s">
        <v>155</v>
      </c>
      <c r="B37" s="41" t="s">
        <v>156</v>
      </c>
      <c r="C37" s="41" t="s">
        <v>157</v>
      </c>
      <c r="D37" s="40" t="s">
        <v>17</v>
      </c>
      <c r="E37" s="40" t="s">
        <v>78</v>
      </c>
      <c r="F37" s="42" t="n">
        <v>105169</v>
      </c>
      <c r="G37" s="40" t="n">
        <v>42</v>
      </c>
      <c r="H37" s="43" t="n">
        <v>9.4</v>
      </c>
      <c r="I37" s="40" t="n">
        <v>4</v>
      </c>
      <c r="J37" s="40" t="s">
        <v>73</v>
      </c>
      <c r="K37" s="44" t="s">
        <v>57</v>
      </c>
      <c r="L37" s="45" t="n">
        <v>42508</v>
      </c>
      <c r="M37" s="45" t="n">
        <v>45723</v>
      </c>
      <c r="N37" s="41" t="s">
        <v>83</v>
      </c>
    </row>
    <row r="38" customFormat="false" ht="15.75" hidden="false" customHeight="true" outlineLevel="0" collapsed="false">
      <c r="A38" s="46" t="s">
        <v>158</v>
      </c>
      <c r="B38" s="47" t="s">
        <v>159</v>
      </c>
      <c r="C38" s="47" t="s">
        <v>97</v>
      </c>
      <c r="D38" s="46" t="s">
        <v>15</v>
      </c>
      <c r="E38" s="46" t="s">
        <v>78</v>
      </c>
      <c r="F38" s="48" t="n">
        <v>95909</v>
      </c>
      <c r="G38" s="46" t="n">
        <v>23</v>
      </c>
      <c r="H38" s="49" t="n">
        <v>5.8</v>
      </c>
      <c r="I38" s="46" t="n">
        <v>3</v>
      </c>
      <c r="J38" s="46" t="s">
        <v>63</v>
      </c>
      <c r="K38" s="44" t="s">
        <v>57</v>
      </c>
      <c r="L38" s="50" t="n">
        <v>43997</v>
      </c>
      <c r="M38" s="50" t="n">
        <v>45884</v>
      </c>
      <c r="N38" s="47" t="s">
        <v>69</v>
      </c>
    </row>
    <row r="39" customFormat="false" ht="15.75" hidden="false" customHeight="true" outlineLevel="0" collapsed="false">
      <c r="A39" s="40" t="s">
        <v>160</v>
      </c>
      <c r="B39" s="41" t="s">
        <v>161</v>
      </c>
      <c r="C39" s="41" t="s">
        <v>151</v>
      </c>
      <c r="D39" s="40" t="s">
        <v>9</v>
      </c>
      <c r="E39" s="40" t="s">
        <v>123</v>
      </c>
      <c r="F39" s="42" t="n">
        <v>98780</v>
      </c>
      <c r="G39" s="40" t="n">
        <v>62</v>
      </c>
      <c r="H39" s="43" t="n">
        <v>6.4</v>
      </c>
      <c r="I39" s="40" t="n">
        <v>4</v>
      </c>
      <c r="J39" s="40" t="s">
        <v>56</v>
      </c>
      <c r="K39" s="44" t="s">
        <v>57</v>
      </c>
      <c r="L39" s="45" t="n">
        <v>43581</v>
      </c>
      <c r="M39" s="45" t="n">
        <v>45752</v>
      </c>
      <c r="N39" s="41" t="s">
        <v>111</v>
      </c>
    </row>
    <row r="40" customFormat="false" ht="15.75" hidden="false" customHeight="true" outlineLevel="0" collapsed="false">
      <c r="A40" s="46" t="s">
        <v>162</v>
      </c>
      <c r="B40" s="47" t="s">
        <v>163</v>
      </c>
      <c r="C40" s="47" t="s">
        <v>164</v>
      </c>
      <c r="D40" s="46" t="s">
        <v>9</v>
      </c>
      <c r="E40" s="46" t="s">
        <v>62</v>
      </c>
      <c r="F40" s="48" t="n">
        <v>92160</v>
      </c>
      <c r="G40" s="46" t="n">
        <v>59</v>
      </c>
      <c r="H40" s="49" t="n">
        <v>3.9</v>
      </c>
      <c r="I40" s="46" t="n">
        <v>4</v>
      </c>
      <c r="J40" s="46" t="s">
        <v>73</v>
      </c>
      <c r="K40" s="44" t="s">
        <v>57</v>
      </c>
      <c r="L40" s="50" t="n">
        <v>44641</v>
      </c>
      <c r="M40" s="50" t="n">
        <v>45992</v>
      </c>
      <c r="N40" s="47" t="s">
        <v>58</v>
      </c>
    </row>
    <row r="41" customFormat="false" ht="15.75" hidden="false" customHeight="true" outlineLevel="0" collapsed="false">
      <c r="A41" s="40" t="s">
        <v>165</v>
      </c>
      <c r="B41" s="41" t="s">
        <v>166</v>
      </c>
      <c r="C41" s="41" t="s">
        <v>81</v>
      </c>
      <c r="D41" s="40" t="s">
        <v>13</v>
      </c>
      <c r="E41" s="40" t="s">
        <v>62</v>
      </c>
      <c r="F41" s="42" t="n">
        <v>115607</v>
      </c>
      <c r="G41" s="40" t="n">
        <v>56</v>
      </c>
      <c r="H41" s="43" t="n">
        <v>8.6</v>
      </c>
      <c r="I41" s="40" t="n">
        <v>4</v>
      </c>
      <c r="J41" s="40" t="s">
        <v>56</v>
      </c>
      <c r="K41" s="44" t="s">
        <v>57</v>
      </c>
      <c r="L41" s="45" t="n">
        <v>42969</v>
      </c>
      <c r="M41" s="45" t="n">
        <v>45918</v>
      </c>
      <c r="N41" s="41" t="s">
        <v>69</v>
      </c>
    </row>
    <row r="42" customFormat="false" ht="15.75" hidden="false" customHeight="true" outlineLevel="0" collapsed="false">
      <c r="A42" s="46" t="s">
        <v>167</v>
      </c>
      <c r="B42" s="47" t="s">
        <v>168</v>
      </c>
      <c r="C42" s="47" t="s">
        <v>114</v>
      </c>
      <c r="D42" s="46" t="s">
        <v>19</v>
      </c>
      <c r="E42" s="46" t="s">
        <v>82</v>
      </c>
      <c r="F42" s="48" t="n">
        <v>110736</v>
      </c>
      <c r="G42" s="46" t="n">
        <v>53</v>
      </c>
      <c r="H42" s="49" t="n">
        <v>8.4</v>
      </c>
      <c r="I42" s="46" t="n">
        <v>4</v>
      </c>
      <c r="J42" s="46" t="s">
        <v>63</v>
      </c>
      <c r="K42" s="44" t="s">
        <v>57</v>
      </c>
      <c r="L42" s="50" t="n">
        <v>42994</v>
      </c>
      <c r="M42" s="50" t="n">
        <v>45969</v>
      </c>
      <c r="N42" s="47" t="s">
        <v>58</v>
      </c>
    </row>
    <row r="43" customFormat="false" ht="15.75" hidden="false" customHeight="true" outlineLevel="0" collapsed="false">
      <c r="A43" s="40" t="s">
        <v>169</v>
      </c>
      <c r="B43" s="41" t="s">
        <v>170</v>
      </c>
      <c r="C43" s="41" t="s">
        <v>154</v>
      </c>
      <c r="D43" s="40" t="s">
        <v>13</v>
      </c>
      <c r="E43" s="40" t="s">
        <v>107</v>
      </c>
      <c r="F43" s="42" t="n">
        <v>92010</v>
      </c>
      <c r="G43" s="40" t="n">
        <v>43</v>
      </c>
      <c r="H43" s="43" t="n">
        <v>16.1</v>
      </c>
      <c r="I43" s="40" t="n">
        <v>2</v>
      </c>
      <c r="J43" s="40" t="s">
        <v>56</v>
      </c>
      <c r="K43" s="44" t="s">
        <v>57</v>
      </c>
      <c r="L43" s="45" t="n">
        <v>40152</v>
      </c>
      <c r="M43" s="45" t="n">
        <v>45998</v>
      </c>
      <c r="N43" s="41" t="s">
        <v>83</v>
      </c>
    </row>
    <row r="44" customFormat="false" ht="15.75" hidden="false" customHeight="true" outlineLevel="0" collapsed="false">
      <c r="A44" s="46" t="s">
        <v>171</v>
      </c>
      <c r="B44" s="47" t="s">
        <v>172</v>
      </c>
      <c r="C44" s="47" t="s">
        <v>173</v>
      </c>
      <c r="D44" s="46" t="s">
        <v>19</v>
      </c>
      <c r="E44" s="46" t="s">
        <v>82</v>
      </c>
      <c r="F44" s="48" t="n">
        <v>66080</v>
      </c>
      <c r="G44" s="46" t="n">
        <v>36</v>
      </c>
      <c r="H44" s="49" t="n">
        <v>15.1</v>
      </c>
      <c r="I44" s="46" t="n">
        <v>3</v>
      </c>
      <c r="J44" s="46" t="s">
        <v>63</v>
      </c>
      <c r="K44" s="51" t="s">
        <v>90</v>
      </c>
      <c r="L44" s="50" t="n">
        <v>40206</v>
      </c>
      <c r="M44" s="50" t="n">
        <v>45943</v>
      </c>
      <c r="N44" s="47" t="s">
        <v>94</v>
      </c>
    </row>
    <row r="45" customFormat="false" ht="15.75" hidden="false" customHeight="true" outlineLevel="0" collapsed="false">
      <c r="A45" s="40" t="s">
        <v>174</v>
      </c>
      <c r="B45" s="41" t="s">
        <v>175</v>
      </c>
      <c r="C45" s="41" t="s">
        <v>117</v>
      </c>
      <c r="D45" s="40" t="s">
        <v>18</v>
      </c>
      <c r="E45" s="40" t="s">
        <v>78</v>
      </c>
      <c r="F45" s="42" t="n">
        <v>115272</v>
      </c>
      <c r="G45" s="40" t="n">
        <v>57</v>
      </c>
      <c r="H45" s="43" t="n">
        <v>14.5</v>
      </c>
      <c r="I45" s="40" t="n">
        <v>5</v>
      </c>
      <c r="J45" s="40" t="s">
        <v>73</v>
      </c>
      <c r="K45" s="44" t="s">
        <v>57</v>
      </c>
      <c r="L45" s="45" t="n">
        <v>40740</v>
      </c>
      <c r="M45" s="45" t="n">
        <v>45670</v>
      </c>
      <c r="N45" s="41" t="s">
        <v>83</v>
      </c>
    </row>
    <row r="46" customFormat="false" ht="15.75" hidden="false" customHeight="true" outlineLevel="0" collapsed="false">
      <c r="A46" s="46" t="s">
        <v>176</v>
      </c>
      <c r="B46" s="47" t="s">
        <v>177</v>
      </c>
      <c r="C46" s="47" t="s">
        <v>114</v>
      </c>
      <c r="D46" s="46" t="s">
        <v>19</v>
      </c>
      <c r="E46" s="46" t="s">
        <v>82</v>
      </c>
      <c r="F46" s="48" t="n">
        <v>102780</v>
      </c>
      <c r="G46" s="46" t="n">
        <v>57</v>
      </c>
      <c r="H46" s="49" t="n">
        <v>1</v>
      </c>
      <c r="I46" s="46" t="n">
        <v>3</v>
      </c>
      <c r="J46" s="46" t="s">
        <v>63</v>
      </c>
      <c r="K46" s="44" t="s">
        <v>57</v>
      </c>
      <c r="L46" s="50" t="n">
        <v>45343</v>
      </c>
      <c r="M46" s="50" t="n">
        <v>45843</v>
      </c>
      <c r="N46" s="47" t="s">
        <v>134</v>
      </c>
    </row>
    <row r="47" customFormat="false" ht="15.75" hidden="false" customHeight="true" outlineLevel="0" collapsed="false">
      <c r="A47" s="40" t="s">
        <v>178</v>
      </c>
      <c r="B47" s="41" t="s">
        <v>179</v>
      </c>
      <c r="C47" s="41" t="s">
        <v>89</v>
      </c>
      <c r="D47" s="40" t="s">
        <v>18</v>
      </c>
      <c r="E47" s="40" t="s">
        <v>107</v>
      </c>
      <c r="F47" s="42" t="n">
        <v>93871</v>
      </c>
      <c r="G47" s="40" t="n">
        <v>52</v>
      </c>
      <c r="H47" s="43" t="n">
        <v>6.2</v>
      </c>
      <c r="I47" s="40" t="n">
        <v>4</v>
      </c>
      <c r="J47" s="40" t="s">
        <v>73</v>
      </c>
      <c r="K47" s="44" t="s">
        <v>57</v>
      </c>
      <c r="L47" s="45" t="n">
        <v>43655</v>
      </c>
      <c r="M47" s="45" t="n">
        <v>45704</v>
      </c>
      <c r="N47" s="41" t="s">
        <v>134</v>
      </c>
    </row>
    <row r="48" customFormat="false" ht="15.75" hidden="false" customHeight="true" outlineLevel="0" collapsed="false">
      <c r="A48" s="46" t="s">
        <v>180</v>
      </c>
      <c r="B48" s="47" t="s">
        <v>181</v>
      </c>
      <c r="C48" s="47" t="s">
        <v>77</v>
      </c>
      <c r="D48" s="46" t="s">
        <v>13</v>
      </c>
      <c r="E48" s="46" t="s">
        <v>55</v>
      </c>
      <c r="F48" s="48" t="n">
        <v>112713</v>
      </c>
      <c r="G48" s="46" t="n">
        <v>25</v>
      </c>
      <c r="H48" s="49" t="n">
        <v>13.7</v>
      </c>
      <c r="I48" s="46" t="n">
        <v>5</v>
      </c>
      <c r="J48" s="46" t="s">
        <v>56</v>
      </c>
      <c r="K48" s="44" t="s">
        <v>57</v>
      </c>
      <c r="L48" s="50" t="n">
        <v>41187</v>
      </c>
      <c r="M48" s="50" t="n">
        <v>45752</v>
      </c>
      <c r="N48" s="47" t="s">
        <v>58</v>
      </c>
    </row>
    <row r="49" customFormat="false" ht="15.75" hidden="false" customHeight="true" outlineLevel="0" collapsed="false">
      <c r="A49" s="40" t="s">
        <v>182</v>
      </c>
      <c r="B49" s="41" t="s">
        <v>183</v>
      </c>
      <c r="C49" s="41" t="s">
        <v>184</v>
      </c>
      <c r="D49" s="40" t="s">
        <v>19</v>
      </c>
      <c r="E49" s="40" t="s">
        <v>62</v>
      </c>
      <c r="F49" s="42" t="n">
        <v>86175</v>
      </c>
      <c r="G49" s="40" t="n">
        <v>33</v>
      </c>
      <c r="H49" s="43" t="n">
        <v>11.1</v>
      </c>
      <c r="I49" s="40" t="n">
        <v>5</v>
      </c>
      <c r="J49" s="40" t="s">
        <v>63</v>
      </c>
      <c r="K49" s="44" t="s">
        <v>57</v>
      </c>
      <c r="L49" s="45" t="n">
        <v>41708</v>
      </c>
      <c r="M49" s="45" t="n">
        <v>45707</v>
      </c>
      <c r="N49" s="41" t="s">
        <v>83</v>
      </c>
    </row>
    <row r="50" customFormat="false" ht="15.75" hidden="false" customHeight="true" outlineLevel="0" collapsed="false">
      <c r="A50" s="46" t="s">
        <v>185</v>
      </c>
      <c r="B50" s="47" t="s">
        <v>186</v>
      </c>
      <c r="C50" s="47" t="s">
        <v>77</v>
      </c>
      <c r="D50" s="46" t="s">
        <v>13</v>
      </c>
      <c r="E50" s="46" t="s">
        <v>107</v>
      </c>
      <c r="F50" s="48" t="n">
        <v>108803</v>
      </c>
      <c r="G50" s="46" t="n">
        <v>38</v>
      </c>
      <c r="H50" s="49" t="n">
        <v>2.3</v>
      </c>
      <c r="I50" s="46" t="n">
        <v>4</v>
      </c>
      <c r="J50" s="46" t="s">
        <v>63</v>
      </c>
      <c r="K50" s="44" t="s">
        <v>57</v>
      </c>
      <c r="L50" s="50" t="n">
        <v>44983</v>
      </c>
      <c r="M50" s="50" t="n">
        <v>45956</v>
      </c>
      <c r="N50" s="47" t="s">
        <v>83</v>
      </c>
    </row>
    <row r="51" customFormat="false" ht="15.75" hidden="false" customHeight="true" outlineLevel="0" collapsed="false">
      <c r="A51" s="40" t="s">
        <v>187</v>
      </c>
      <c r="B51" s="41" t="s">
        <v>188</v>
      </c>
      <c r="C51" s="41" t="s">
        <v>189</v>
      </c>
      <c r="D51" s="40" t="s">
        <v>9</v>
      </c>
      <c r="E51" s="40" t="s">
        <v>82</v>
      </c>
      <c r="F51" s="42" t="n">
        <v>107437</v>
      </c>
      <c r="G51" s="40" t="n">
        <v>44</v>
      </c>
      <c r="H51" s="43" t="n">
        <v>0.7</v>
      </c>
      <c r="I51" s="40" t="n">
        <v>3</v>
      </c>
      <c r="J51" s="40" t="s">
        <v>73</v>
      </c>
      <c r="K51" s="44" t="s">
        <v>57</v>
      </c>
      <c r="L51" s="45" t="n">
        <v>45829</v>
      </c>
      <c r="M51" s="45" t="n">
        <v>45892</v>
      </c>
      <c r="N51" s="41" t="s">
        <v>64</v>
      </c>
    </row>
    <row r="52" customFormat="false" ht="15.75" hidden="false" customHeight="true" outlineLevel="0" collapsed="false">
      <c r="A52" s="46" t="s">
        <v>190</v>
      </c>
      <c r="B52" s="47" t="s">
        <v>191</v>
      </c>
      <c r="C52" s="47" t="s">
        <v>173</v>
      </c>
      <c r="D52" s="46" t="s">
        <v>19</v>
      </c>
      <c r="E52" s="46" t="s">
        <v>107</v>
      </c>
      <c r="F52" s="48" t="n">
        <v>90545</v>
      </c>
      <c r="G52" s="46" t="n">
        <v>60</v>
      </c>
      <c r="H52" s="49" t="n">
        <v>5.2</v>
      </c>
      <c r="I52" s="46" t="n">
        <v>5</v>
      </c>
      <c r="J52" s="46" t="s">
        <v>56</v>
      </c>
      <c r="K52" s="44" t="s">
        <v>57</v>
      </c>
      <c r="L52" s="50" t="n">
        <v>44051</v>
      </c>
      <c r="M52" s="50" t="n">
        <v>45888</v>
      </c>
      <c r="N52" s="47" t="s">
        <v>83</v>
      </c>
    </row>
    <row r="53" customFormat="false" ht="15.75" hidden="false" customHeight="true" outlineLevel="0" collapsed="false">
      <c r="A53" s="40" t="s">
        <v>192</v>
      </c>
      <c r="B53" s="41" t="s">
        <v>193</v>
      </c>
      <c r="C53" s="41" t="s">
        <v>194</v>
      </c>
      <c r="D53" s="40" t="s">
        <v>7</v>
      </c>
      <c r="E53" s="40" t="s">
        <v>68</v>
      </c>
      <c r="F53" s="42" t="n">
        <v>106300</v>
      </c>
      <c r="G53" s="40" t="n">
        <v>34</v>
      </c>
      <c r="H53" s="43" t="n">
        <v>9</v>
      </c>
      <c r="I53" s="40" t="n">
        <v>3</v>
      </c>
      <c r="J53" s="40" t="s">
        <v>73</v>
      </c>
      <c r="K53" s="44" t="s">
        <v>57</v>
      </c>
      <c r="L53" s="45" t="n">
        <v>42666</v>
      </c>
      <c r="M53" s="45" t="n">
        <v>45795</v>
      </c>
      <c r="N53" s="41" t="s">
        <v>111</v>
      </c>
    </row>
    <row r="54" customFormat="false" ht="15.75" hidden="false" customHeight="true" outlineLevel="0" collapsed="false">
      <c r="A54" s="46" t="s">
        <v>195</v>
      </c>
      <c r="B54" s="47" t="s">
        <v>196</v>
      </c>
      <c r="C54" s="47" t="s">
        <v>197</v>
      </c>
      <c r="D54" s="46" t="s">
        <v>13</v>
      </c>
      <c r="E54" s="46" t="s">
        <v>55</v>
      </c>
      <c r="F54" s="48" t="n">
        <v>102019</v>
      </c>
      <c r="G54" s="46" t="n">
        <v>58</v>
      </c>
      <c r="H54" s="49" t="n">
        <v>13.8</v>
      </c>
      <c r="I54" s="46" t="n">
        <v>4</v>
      </c>
      <c r="J54" s="46" t="s">
        <v>63</v>
      </c>
      <c r="K54" s="44" t="s">
        <v>57</v>
      </c>
      <c r="L54" s="50" t="n">
        <v>41147</v>
      </c>
      <c r="M54" s="50" t="n">
        <v>45660</v>
      </c>
      <c r="N54" s="47" t="s">
        <v>83</v>
      </c>
    </row>
    <row r="55" customFormat="false" ht="15.75" hidden="false" customHeight="true" outlineLevel="0" collapsed="false">
      <c r="A55" s="40" t="s">
        <v>198</v>
      </c>
      <c r="B55" s="41" t="s">
        <v>199</v>
      </c>
      <c r="C55" s="41" t="s">
        <v>200</v>
      </c>
      <c r="D55" s="40" t="s">
        <v>15</v>
      </c>
      <c r="E55" s="40" t="s">
        <v>68</v>
      </c>
      <c r="F55" s="42" t="n">
        <v>84184</v>
      </c>
      <c r="G55" s="40" t="n">
        <v>53</v>
      </c>
      <c r="H55" s="43" t="n">
        <v>10.2</v>
      </c>
      <c r="I55" s="40" t="n">
        <v>3</v>
      </c>
      <c r="J55" s="40" t="s">
        <v>63</v>
      </c>
      <c r="K55" s="44" t="s">
        <v>57</v>
      </c>
      <c r="L55" s="45" t="n">
        <v>42178</v>
      </c>
      <c r="M55" s="45" t="n">
        <v>45878</v>
      </c>
      <c r="N55" s="41" t="s">
        <v>111</v>
      </c>
    </row>
    <row r="56" customFormat="false" ht="15.75" hidden="false" customHeight="true" outlineLevel="0" collapsed="false">
      <c r="A56" s="46" t="s">
        <v>201</v>
      </c>
      <c r="B56" s="47" t="s">
        <v>202</v>
      </c>
      <c r="C56" s="47" t="s">
        <v>154</v>
      </c>
      <c r="D56" s="46" t="s">
        <v>13</v>
      </c>
      <c r="E56" s="46" t="s">
        <v>68</v>
      </c>
      <c r="F56" s="48" t="n">
        <v>77835</v>
      </c>
      <c r="G56" s="46" t="n">
        <v>57</v>
      </c>
      <c r="H56" s="49" t="n">
        <v>17.1</v>
      </c>
      <c r="I56" s="46" t="n">
        <v>4</v>
      </c>
      <c r="J56" s="46" t="s">
        <v>56</v>
      </c>
      <c r="K56" s="44" t="s">
        <v>57</v>
      </c>
      <c r="L56" s="50" t="n">
        <v>39669</v>
      </c>
      <c r="M56" s="50" t="n">
        <v>46010</v>
      </c>
      <c r="N56" s="47" t="s">
        <v>74</v>
      </c>
    </row>
  </sheetData>
  <mergeCells count="1">
    <mergeCell ref="A1:N1"/>
  </mergeCells>
  <conditionalFormatting sqref="I7:I56">
    <cfRule type="colorScale" priority="2">
      <colorScale>
        <cfvo type="num" val="1"/>
        <cfvo type="num" val="3"/>
        <cfvo type="num" val="5"/>
        <color rgb="FFFF0000"/>
        <color rgb="FFFFFF00"/>
        <color rgb="FF00B050"/>
      </colorScale>
    </cfRule>
  </conditionalFormatting>
  <conditionalFormatting sqref="F7:F56">
    <cfRule type="dataBar" priority="3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{46CE8430-D520-46C2-B780-D4554BA68EC2}</x14:id>
        </ext>
      </extLst>
    </cfRule>
  </conditionalFormatting>
  <dataValidations count="4">
    <dataValidation allowBlank="true" errorStyle="stop" operator="between" showDropDown="false" showErrorMessage="false" showInputMessage="false" sqref="D7:D206" type="list">
      <formula1>"Engineering,Sales,HR,Finance,Marketing,Operations,Legal,IT"</formula1>
      <formula2>0</formula2>
    </dataValidation>
    <dataValidation allowBlank="true" errorStyle="stop" operator="between" showDropDown="false" showErrorMessage="false" showInputMessage="false" sqref="K7:K206" type="list">
      <formula1>"Active,Inactive"</formula1>
      <formula2>0</formula2>
    </dataValidation>
    <dataValidation allowBlank="true" errorStyle="stop" operator="between" showDropDown="false" showErrorMessage="false" showInputMessage="false" sqref="I7:I206" type="whole">
      <formula1>1</formula1>
      <formula2>5</formula2>
    </dataValidation>
    <dataValidation allowBlank="true" errorStyle="stop" operator="between" showDropDown="false" showErrorMessage="false" showInputMessage="false" sqref="J7:J206" type="list">
      <formula1>"Male,Female,Non-Binary"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CE8430-D520-46C2-B780-D4554BA68EC2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F7:F56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11"/>
    <col collapsed="false" customWidth="true" hidden="false" outlineLevel="0" max="12" min="12" style="0" width="12"/>
  </cols>
  <sheetData>
    <row r="1" customFormat="false" ht="36" hidden="false" customHeight="true" outlineLevel="0" collapsed="false">
      <c r="A1" s="52" t="s">
        <v>203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3" customFormat="false" ht="36" hidden="false" customHeight="true" outlineLevel="0" collapsed="false">
      <c r="A3" s="53" t="s">
        <v>204</v>
      </c>
      <c r="B3" s="54" t="n">
        <f aca="false">COUNTIF(E7:E56,"Open")</f>
        <v>23</v>
      </c>
      <c r="C3" s="53" t="s">
        <v>205</v>
      </c>
      <c r="D3" s="54" t="n">
        <f aca="false">COUNTA(A7:A56)</f>
        <v>30</v>
      </c>
      <c r="E3" s="53" t="s">
        <v>206</v>
      </c>
      <c r="F3" s="54" t="n">
        <f aca="false">COUNTIF(H7:H56,"Scheduled")+COUNTIF(H7:H56,"Completed")</f>
        <v>0</v>
      </c>
      <c r="G3" s="53" t="s">
        <v>207</v>
      </c>
      <c r="H3" s="54" t="n">
        <f aca="false">COUNTIF(H7:H56,"Offer Extended")+COUNTIF(H7:H56,"Hired")</f>
        <v>8</v>
      </c>
      <c r="I3" s="53" t="s">
        <v>208</v>
      </c>
      <c r="J3" s="54" t="n">
        <f aca="false">IFERROR(AVERAGEIF(H7:H56,"Hired",K7:K56),0)</f>
        <v>51</v>
      </c>
    </row>
    <row r="4" customFormat="false" ht="9.75" hidden="false" customHeight="true" outlineLevel="0" collapsed="false"/>
    <row r="5" customFormat="false" ht="19.5" hidden="false" customHeight="true" outlineLevel="0" collapsed="false">
      <c r="A5" s="55" t="s">
        <v>209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customFormat="false" ht="30" hidden="false" customHeight="true" outlineLevel="0" collapsed="false">
      <c r="A6" s="39" t="s">
        <v>210</v>
      </c>
      <c r="B6" s="39" t="s">
        <v>211</v>
      </c>
      <c r="C6" s="39" t="s">
        <v>22</v>
      </c>
      <c r="D6" s="39" t="s">
        <v>212</v>
      </c>
      <c r="E6" s="39" t="s">
        <v>48</v>
      </c>
      <c r="F6" s="39" t="s">
        <v>213</v>
      </c>
      <c r="G6" s="39" t="s">
        <v>214</v>
      </c>
      <c r="H6" s="39" t="s">
        <v>215</v>
      </c>
      <c r="I6" s="39" t="s">
        <v>216</v>
      </c>
      <c r="J6" s="39" t="s">
        <v>217</v>
      </c>
      <c r="K6" s="39" t="s">
        <v>218</v>
      </c>
      <c r="L6" s="39" t="s">
        <v>219</v>
      </c>
    </row>
    <row r="7" customFormat="false" ht="15.75" hidden="false" customHeight="true" outlineLevel="0" collapsed="false">
      <c r="A7" s="40" t="s">
        <v>220</v>
      </c>
      <c r="B7" s="41" t="s">
        <v>221</v>
      </c>
      <c r="C7" s="41" t="s">
        <v>13</v>
      </c>
      <c r="D7" s="41" t="s">
        <v>58</v>
      </c>
      <c r="E7" s="40" t="s">
        <v>222</v>
      </c>
      <c r="F7" s="56" t="s">
        <v>223</v>
      </c>
      <c r="G7" s="45" t="n">
        <v>45767</v>
      </c>
      <c r="H7" s="57" t="s">
        <v>224</v>
      </c>
      <c r="I7" s="41" t="s">
        <v>225</v>
      </c>
      <c r="J7" s="41" t="s">
        <v>226</v>
      </c>
      <c r="K7" s="40" t="n">
        <v>34</v>
      </c>
      <c r="L7" s="40"/>
    </row>
    <row r="8" customFormat="false" ht="15.75" hidden="false" customHeight="true" outlineLevel="0" collapsed="false">
      <c r="A8" s="46" t="s">
        <v>227</v>
      </c>
      <c r="B8" s="47" t="s">
        <v>228</v>
      </c>
      <c r="C8" s="47" t="s">
        <v>19</v>
      </c>
      <c r="D8" s="47" t="s">
        <v>111</v>
      </c>
      <c r="E8" s="46" t="s">
        <v>229</v>
      </c>
      <c r="F8" s="56" t="s">
        <v>223</v>
      </c>
      <c r="G8" s="50" t="n">
        <v>45922</v>
      </c>
      <c r="H8" s="58" t="s">
        <v>230</v>
      </c>
      <c r="I8" s="47" t="s">
        <v>231</v>
      </c>
      <c r="J8" s="47" t="s">
        <v>232</v>
      </c>
      <c r="K8" s="46" t="n">
        <v>73</v>
      </c>
      <c r="L8" s="46" t="n">
        <v>25</v>
      </c>
    </row>
    <row r="9" customFormat="false" ht="15.75" hidden="false" customHeight="true" outlineLevel="0" collapsed="false">
      <c r="A9" s="40" t="s">
        <v>233</v>
      </c>
      <c r="B9" s="41" t="s">
        <v>234</v>
      </c>
      <c r="C9" s="41" t="s">
        <v>19</v>
      </c>
      <c r="D9" s="41" t="s">
        <v>64</v>
      </c>
      <c r="E9" s="40" t="s">
        <v>222</v>
      </c>
      <c r="F9" s="58" t="s">
        <v>235</v>
      </c>
      <c r="G9" s="45" t="n">
        <v>45835</v>
      </c>
      <c r="H9" s="59" t="s">
        <v>236</v>
      </c>
      <c r="I9" s="41" t="s">
        <v>237</v>
      </c>
      <c r="J9" s="41" t="s">
        <v>238</v>
      </c>
      <c r="K9" s="40" t="n">
        <v>32</v>
      </c>
      <c r="L9" s="40"/>
    </row>
    <row r="10" customFormat="false" ht="15.75" hidden="false" customHeight="true" outlineLevel="0" collapsed="false">
      <c r="A10" s="46" t="s">
        <v>239</v>
      </c>
      <c r="B10" s="47" t="s">
        <v>240</v>
      </c>
      <c r="C10" s="47" t="s">
        <v>11</v>
      </c>
      <c r="D10" s="47" t="s">
        <v>134</v>
      </c>
      <c r="E10" s="46" t="s">
        <v>229</v>
      </c>
      <c r="F10" s="56" t="s">
        <v>223</v>
      </c>
      <c r="G10" s="50" t="n">
        <v>46008</v>
      </c>
      <c r="H10" s="58" t="s">
        <v>230</v>
      </c>
      <c r="I10" s="47" t="s">
        <v>241</v>
      </c>
      <c r="J10" s="47" t="s">
        <v>242</v>
      </c>
      <c r="K10" s="46" t="n">
        <v>16</v>
      </c>
      <c r="L10" s="46" t="n">
        <v>50</v>
      </c>
    </row>
    <row r="11" customFormat="false" ht="15.75" hidden="false" customHeight="true" outlineLevel="0" collapsed="false">
      <c r="A11" s="40" t="s">
        <v>243</v>
      </c>
      <c r="B11" s="41" t="s">
        <v>244</v>
      </c>
      <c r="C11" s="41" t="s">
        <v>15</v>
      </c>
      <c r="D11" s="41" t="s">
        <v>111</v>
      </c>
      <c r="E11" s="40" t="s">
        <v>222</v>
      </c>
      <c r="F11" s="58" t="s">
        <v>235</v>
      </c>
      <c r="G11" s="45" t="n">
        <v>45845</v>
      </c>
      <c r="H11" s="60" t="s">
        <v>245</v>
      </c>
      <c r="I11" s="41" t="s">
        <v>246</v>
      </c>
      <c r="J11" s="41" t="s">
        <v>247</v>
      </c>
      <c r="K11" s="40" t="n">
        <v>73</v>
      </c>
      <c r="L11" s="40"/>
    </row>
    <row r="12" customFormat="false" ht="15.75" hidden="false" customHeight="true" outlineLevel="0" collapsed="false">
      <c r="A12" s="46" t="s">
        <v>248</v>
      </c>
      <c r="B12" s="47" t="s">
        <v>77</v>
      </c>
      <c r="C12" s="47" t="s">
        <v>13</v>
      </c>
      <c r="D12" s="47" t="s">
        <v>64</v>
      </c>
      <c r="E12" s="46" t="s">
        <v>222</v>
      </c>
      <c r="F12" s="58" t="s">
        <v>235</v>
      </c>
      <c r="G12" s="50" t="n">
        <v>45813</v>
      </c>
      <c r="H12" s="57" t="s">
        <v>224</v>
      </c>
      <c r="I12" s="47" t="s">
        <v>249</v>
      </c>
      <c r="J12" s="47" t="s">
        <v>250</v>
      </c>
      <c r="K12" s="46" t="n">
        <v>25</v>
      </c>
      <c r="L12" s="46"/>
    </row>
    <row r="13" customFormat="false" ht="15.75" hidden="false" customHeight="true" outlineLevel="0" collapsed="false">
      <c r="A13" s="40" t="s">
        <v>251</v>
      </c>
      <c r="B13" s="41" t="s">
        <v>234</v>
      </c>
      <c r="C13" s="41" t="s">
        <v>19</v>
      </c>
      <c r="D13" s="41" t="s">
        <v>83</v>
      </c>
      <c r="E13" s="40" t="s">
        <v>222</v>
      </c>
      <c r="F13" s="61" t="s">
        <v>252</v>
      </c>
      <c r="G13" s="45" t="n">
        <v>45661</v>
      </c>
      <c r="H13" s="62" t="s">
        <v>253</v>
      </c>
      <c r="I13" s="41" t="s">
        <v>254</v>
      </c>
      <c r="J13" s="41" t="s">
        <v>255</v>
      </c>
      <c r="K13" s="40" t="n">
        <v>26</v>
      </c>
      <c r="L13" s="40"/>
    </row>
    <row r="14" customFormat="false" ht="15.75" hidden="false" customHeight="true" outlineLevel="0" collapsed="false">
      <c r="A14" s="46" t="s">
        <v>256</v>
      </c>
      <c r="B14" s="47" t="s">
        <v>77</v>
      </c>
      <c r="C14" s="47" t="s">
        <v>13</v>
      </c>
      <c r="D14" s="47" t="s">
        <v>64</v>
      </c>
      <c r="E14" s="46" t="s">
        <v>222</v>
      </c>
      <c r="F14" s="58" t="s">
        <v>235</v>
      </c>
      <c r="G14" s="50" t="n">
        <v>45726</v>
      </c>
      <c r="H14" s="56" t="s">
        <v>257</v>
      </c>
      <c r="I14" s="47" t="s">
        <v>258</v>
      </c>
      <c r="J14" s="47" t="s">
        <v>259</v>
      </c>
      <c r="K14" s="46" t="n">
        <v>5</v>
      </c>
      <c r="L14" s="46"/>
    </row>
    <row r="15" customFormat="false" ht="15.75" hidden="false" customHeight="true" outlineLevel="0" collapsed="false">
      <c r="A15" s="40" t="s">
        <v>260</v>
      </c>
      <c r="B15" s="41" t="s">
        <v>261</v>
      </c>
      <c r="C15" s="41" t="s">
        <v>13</v>
      </c>
      <c r="D15" s="41" t="s">
        <v>83</v>
      </c>
      <c r="E15" s="40" t="s">
        <v>222</v>
      </c>
      <c r="F15" s="61" t="s">
        <v>252</v>
      </c>
      <c r="G15" s="45" t="n">
        <v>45678</v>
      </c>
      <c r="H15" s="57" t="s">
        <v>224</v>
      </c>
      <c r="I15" s="41" t="s">
        <v>262</v>
      </c>
      <c r="J15" s="41" t="s">
        <v>263</v>
      </c>
      <c r="K15" s="40" t="n">
        <v>61</v>
      </c>
      <c r="L15" s="40"/>
    </row>
    <row r="16" customFormat="false" ht="15.75" hidden="false" customHeight="true" outlineLevel="0" collapsed="false">
      <c r="A16" s="46" t="s">
        <v>264</v>
      </c>
      <c r="B16" s="47" t="s">
        <v>265</v>
      </c>
      <c r="C16" s="47" t="s">
        <v>11</v>
      </c>
      <c r="D16" s="47" t="s">
        <v>83</v>
      </c>
      <c r="E16" s="46" t="s">
        <v>229</v>
      </c>
      <c r="F16" s="61" t="s">
        <v>252</v>
      </c>
      <c r="G16" s="50" t="n">
        <v>45662</v>
      </c>
      <c r="H16" s="58" t="s">
        <v>230</v>
      </c>
      <c r="I16" s="47" t="s">
        <v>266</v>
      </c>
      <c r="J16" s="47" t="s">
        <v>267</v>
      </c>
      <c r="K16" s="46" t="n">
        <v>81</v>
      </c>
      <c r="L16" s="46" t="n">
        <v>69</v>
      </c>
    </row>
    <row r="17" customFormat="false" ht="15.75" hidden="false" customHeight="true" outlineLevel="0" collapsed="false">
      <c r="A17" s="40" t="s">
        <v>268</v>
      </c>
      <c r="B17" s="41" t="s">
        <v>269</v>
      </c>
      <c r="C17" s="41" t="s">
        <v>7</v>
      </c>
      <c r="D17" s="41" t="s">
        <v>111</v>
      </c>
      <c r="E17" s="40" t="s">
        <v>222</v>
      </c>
      <c r="F17" s="58" t="s">
        <v>235</v>
      </c>
      <c r="G17" s="45" t="n">
        <v>45726</v>
      </c>
      <c r="H17" s="57" t="s">
        <v>224</v>
      </c>
      <c r="I17" s="41" t="s">
        <v>270</v>
      </c>
      <c r="J17" s="41" t="s">
        <v>271</v>
      </c>
      <c r="K17" s="40" t="n">
        <v>27</v>
      </c>
      <c r="L17" s="40"/>
    </row>
    <row r="18" customFormat="false" ht="15.75" hidden="false" customHeight="true" outlineLevel="0" collapsed="false">
      <c r="A18" s="46" t="s">
        <v>272</v>
      </c>
      <c r="B18" s="47" t="s">
        <v>265</v>
      </c>
      <c r="C18" s="47" t="s">
        <v>11</v>
      </c>
      <c r="D18" s="47" t="s">
        <v>58</v>
      </c>
      <c r="E18" s="46" t="s">
        <v>222</v>
      </c>
      <c r="F18" s="58" t="s">
        <v>235</v>
      </c>
      <c r="G18" s="50" t="n">
        <v>45775</v>
      </c>
      <c r="H18" s="60" t="s">
        <v>245</v>
      </c>
      <c r="I18" s="47" t="s">
        <v>273</v>
      </c>
      <c r="J18" s="47" t="s">
        <v>274</v>
      </c>
      <c r="K18" s="46" t="n">
        <v>20</v>
      </c>
      <c r="L18" s="46"/>
    </row>
    <row r="19" customFormat="false" ht="15.75" hidden="false" customHeight="true" outlineLevel="0" collapsed="false">
      <c r="A19" s="40" t="s">
        <v>275</v>
      </c>
      <c r="B19" s="41" t="s">
        <v>240</v>
      </c>
      <c r="C19" s="41" t="s">
        <v>11</v>
      </c>
      <c r="D19" s="41" t="s">
        <v>83</v>
      </c>
      <c r="E19" s="40" t="s">
        <v>222</v>
      </c>
      <c r="F19" s="56" t="s">
        <v>223</v>
      </c>
      <c r="G19" s="45" t="n">
        <v>45957</v>
      </c>
      <c r="H19" s="62" t="s">
        <v>253</v>
      </c>
      <c r="I19" s="41" t="s">
        <v>276</v>
      </c>
      <c r="J19" s="41" t="s">
        <v>277</v>
      </c>
      <c r="K19" s="40" t="n">
        <v>48</v>
      </c>
      <c r="L19" s="40"/>
    </row>
    <row r="20" customFormat="false" ht="15.75" hidden="false" customHeight="true" outlineLevel="0" collapsed="false">
      <c r="A20" s="46" t="s">
        <v>278</v>
      </c>
      <c r="B20" s="47" t="s">
        <v>221</v>
      </c>
      <c r="C20" s="47" t="s">
        <v>13</v>
      </c>
      <c r="D20" s="47" t="s">
        <v>134</v>
      </c>
      <c r="E20" s="46" t="s">
        <v>222</v>
      </c>
      <c r="F20" s="56" t="s">
        <v>223</v>
      </c>
      <c r="G20" s="50" t="n">
        <v>45865</v>
      </c>
      <c r="H20" s="60" t="s">
        <v>245</v>
      </c>
      <c r="I20" s="47" t="s">
        <v>279</v>
      </c>
      <c r="J20" s="47" t="s">
        <v>280</v>
      </c>
      <c r="K20" s="46" t="n">
        <v>73</v>
      </c>
      <c r="L20" s="46"/>
    </row>
    <row r="21" customFormat="false" ht="15.75" hidden="false" customHeight="true" outlineLevel="0" collapsed="false">
      <c r="A21" s="40" t="s">
        <v>281</v>
      </c>
      <c r="B21" s="41" t="s">
        <v>228</v>
      </c>
      <c r="C21" s="41" t="s">
        <v>19</v>
      </c>
      <c r="D21" s="41" t="s">
        <v>74</v>
      </c>
      <c r="E21" s="40" t="s">
        <v>222</v>
      </c>
      <c r="F21" s="61" t="s">
        <v>252</v>
      </c>
      <c r="G21" s="45" t="n">
        <v>45877</v>
      </c>
      <c r="H21" s="60" t="s">
        <v>245</v>
      </c>
      <c r="I21" s="41" t="s">
        <v>282</v>
      </c>
      <c r="J21" s="41" t="s">
        <v>283</v>
      </c>
      <c r="K21" s="40" t="n">
        <v>88</v>
      </c>
      <c r="L21" s="40"/>
    </row>
    <row r="22" customFormat="false" ht="15.75" hidden="false" customHeight="true" outlineLevel="0" collapsed="false">
      <c r="A22" s="46" t="s">
        <v>284</v>
      </c>
      <c r="B22" s="47" t="s">
        <v>285</v>
      </c>
      <c r="C22" s="47" t="s">
        <v>19</v>
      </c>
      <c r="D22" s="47" t="s">
        <v>69</v>
      </c>
      <c r="E22" s="46" t="s">
        <v>229</v>
      </c>
      <c r="F22" s="61" t="s">
        <v>252</v>
      </c>
      <c r="G22" s="50" t="n">
        <v>45772</v>
      </c>
      <c r="H22" s="61" t="s">
        <v>286</v>
      </c>
      <c r="I22" s="47" t="s">
        <v>287</v>
      </c>
      <c r="J22" s="47" t="s">
        <v>288</v>
      </c>
      <c r="K22" s="46" t="n">
        <v>36</v>
      </c>
      <c r="L22" s="46"/>
    </row>
    <row r="23" customFormat="false" ht="15.75" hidden="false" customHeight="true" outlineLevel="0" collapsed="false">
      <c r="A23" s="40" t="s">
        <v>289</v>
      </c>
      <c r="B23" s="41" t="s">
        <v>221</v>
      </c>
      <c r="C23" s="41" t="s">
        <v>13</v>
      </c>
      <c r="D23" s="41" t="s">
        <v>69</v>
      </c>
      <c r="E23" s="40" t="s">
        <v>222</v>
      </c>
      <c r="F23" s="58" t="s">
        <v>235</v>
      </c>
      <c r="G23" s="45" t="n">
        <v>45780</v>
      </c>
      <c r="H23" s="56" t="s">
        <v>257</v>
      </c>
      <c r="I23" s="41" t="s">
        <v>290</v>
      </c>
      <c r="J23" s="41" t="s">
        <v>291</v>
      </c>
      <c r="K23" s="40" t="n">
        <v>42</v>
      </c>
      <c r="L23" s="40"/>
    </row>
    <row r="24" customFormat="false" ht="15.75" hidden="false" customHeight="true" outlineLevel="0" collapsed="false">
      <c r="A24" s="46" t="s">
        <v>292</v>
      </c>
      <c r="B24" s="47" t="s">
        <v>293</v>
      </c>
      <c r="C24" s="47" t="s">
        <v>9</v>
      </c>
      <c r="D24" s="47" t="s">
        <v>74</v>
      </c>
      <c r="E24" s="46" t="s">
        <v>222</v>
      </c>
      <c r="F24" s="56" t="s">
        <v>223</v>
      </c>
      <c r="G24" s="50" t="n">
        <v>45848</v>
      </c>
      <c r="H24" s="59" t="s">
        <v>236</v>
      </c>
      <c r="I24" s="47" t="s">
        <v>294</v>
      </c>
      <c r="J24" s="47" t="s">
        <v>295</v>
      </c>
      <c r="K24" s="46" t="n">
        <v>89</v>
      </c>
      <c r="L24" s="46"/>
    </row>
    <row r="25" customFormat="false" ht="15.75" hidden="false" customHeight="true" outlineLevel="0" collapsed="false">
      <c r="A25" s="40" t="s">
        <v>296</v>
      </c>
      <c r="B25" s="41" t="s">
        <v>228</v>
      </c>
      <c r="C25" s="41" t="s">
        <v>19</v>
      </c>
      <c r="D25" s="41" t="s">
        <v>94</v>
      </c>
      <c r="E25" s="40" t="s">
        <v>222</v>
      </c>
      <c r="F25" s="58" t="s">
        <v>235</v>
      </c>
      <c r="G25" s="45" t="n">
        <v>45760</v>
      </c>
      <c r="H25" s="60" t="s">
        <v>245</v>
      </c>
      <c r="I25" s="41" t="s">
        <v>297</v>
      </c>
      <c r="J25" s="41" t="s">
        <v>298</v>
      </c>
      <c r="K25" s="40" t="n">
        <v>30</v>
      </c>
      <c r="L25" s="40"/>
    </row>
    <row r="26" customFormat="false" ht="15.75" hidden="false" customHeight="true" outlineLevel="0" collapsed="false">
      <c r="A26" s="46" t="s">
        <v>299</v>
      </c>
      <c r="B26" s="47" t="s">
        <v>100</v>
      </c>
      <c r="C26" s="47" t="s">
        <v>11</v>
      </c>
      <c r="D26" s="47" t="s">
        <v>83</v>
      </c>
      <c r="E26" s="46" t="s">
        <v>222</v>
      </c>
      <c r="F26" s="58" t="s">
        <v>235</v>
      </c>
      <c r="G26" s="50" t="n">
        <v>45983</v>
      </c>
      <c r="H26" s="57" t="s">
        <v>224</v>
      </c>
      <c r="I26" s="47" t="s">
        <v>300</v>
      </c>
      <c r="J26" s="47" t="s">
        <v>301</v>
      </c>
      <c r="K26" s="46" t="n">
        <v>86</v>
      </c>
      <c r="L26" s="46"/>
    </row>
    <row r="27" customFormat="false" ht="15.75" hidden="false" customHeight="true" outlineLevel="0" collapsed="false">
      <c r="A27" s="40" t="s">
        <v>302</v>
      </c>
      <c r="B27" s="41" t="s">
        <v>234</v>
      </c>
      <c r="C27" s="41" t="s">
        <v>19</v>
      </c>
      <c r="D27" s="41" t="s">
        <v>134</v>
      </c>
      <c r="E27" s="40" t="s">
        <v>229</v>
      </c>
      <c r="F27" s="61" t="s">
        <v>252</v>
      </c>
      <c r="G27" s="45" t="n">
        <v>45866</v>
      </c>
      <c r="H27" s="61" t="s">
        <v>286</v>
      </c>
      <c r="I27" s="41" t="s">
        <v>303</v>
      </c>
      <c r="J27" s="41" t="s">
        <v>304</v>
      </c>
      <c r="K27" s="40" t="n">
        <v>49</v>
      </c>
      <c r="L27" s="40"/>
    </row>
    <row r="28" customFormat="false" ht="15.75" hidden="false" customHeight="true" outlineLevel="0" collapsed="false">
      <c r="A28" s="46" t="s">
        <v>305</v>
      </c>
      <c r="B28" s="47" t="s">
        <v>306</v>
      </c>
      <c r="C28" s="47" t="s">
        <v>15</v>
      </c>
      <c r="D28" s="47" t="s">
        <v>111</v>
      </c>
      <c r="E28" s="46" t="s">
        <v>222</v>
      </c>
      <c r="F28" s="56" t="s">
        <v>223</v>
      </c>
      <c r="G28" s="50" t="n">
        <v>45674</v>
      </c>
      <c r="H28" s="60" t="s">
        <v>245</v>
      </c>
      <c r="I28" s="47" t="s">
        <v>307</v>
      </c>
      <c r="J28" s="47" t="s">
        <v>308</v>
      </c>
      <c r="K28" s="46" t="n">
        <v>26</v>
      </c>
      <c r="L28" s="46"/>
    </row>
    <row r="29" customFormat="false" ht="15.75" hidden="false" customHeight="true" outlineLevel="0" collapsed="false">
      <c r="A29" s="40" t="s">
        <v>309</v>
      </c>
      <c r="B29" s="41" t="s">
        <v>228</v>
      </c>
      <c r="C29" s="41" t="s">
        <v>19</v>
      </c>
      <c r="D29" s="41" t="s">
        <v>74</v>
      </c>
      <c r="E29" s="40" t="s">
        <v>222</v>
      </c>
      <c r="F29" s="61" t="s">
        <v>252</v>
      </c>
      <c r="G29" s="45" t="n">
        <v>45887</v>
      </c>
      <c r="H29" s="56" t="s">
        <v>257</v>
      </c>
      <c r="I29" s="41" t="s">
        <v>310</v>
      </c>
      <c r="J29" s="41" t="s">
        <v>311</v>
      </c>
      <c r="K29" s="40" t="n">
        <v>85</v>
      </c>
      <c r="L29" s="40"/>
    </row>
    <row r="30" customFormat="false" ht="15.75" hidden="false" customHeight="true" outlineLevel="0" collapsed="false">
      <c r="A30" s="46" t="s">
        <v>312</v>
      </c>
      <c r="B30" s="47" t="s">
        <v>313</v>
      </c>
      <c r="C30" s="47" t="s">
        <v>19</v>
      </c>
      <c r="D30" s="47" t="s">
        <v>134</v>
      </c>
      <c r="E30" s="46" t="s">
        <v>222</v>
      </c>
      <c r="F30" s="56" t="s">
        <v>223</v>
      </c>
      <c r="G30" s="50" t="n">
        <v>45714</v>
      </c>
      <c r="H30" s="60" t="s">
        <v>245</v>
      </c>
      <c r="I30" s="47" t="s">
        <v>314</v>
      </c>
      <c r="J30" s="47" t="s">
        <v>315</v>
      </c>
      <c r="K30" s="46" t="n">
        <v>14</v>
      </c>
      <c r="L30" s="46"/>
    </row>
    <row r="31" customFormat="false" ht="15.75" hidden="false" customHeight="true" outlineLevel="0" collapsed="false">
      <c r="A31" s="40" t="s">
        <v>316</v>
      </c>
      <c r="B31" s="41" t="s">
        <v>317</v>
      </c>
      <c r="C31" s="41" t="s">
        <v>11</v>
      </c>
      <c r="D31" s="41" t="s">
        <v>58</v>
      </c>
      <c r="E31" s="40" t="s">
        <v>229</v>
      </c>
      <c r="F31" s="56" t="s">
        <v>223</v>
      </c>
      <c r="G31" s="45" t="n">
        <v>45921</v>
      </c>
      <c r="H31" s="58" t="s">
        <v>230</v>
      </c>
      <c r="I31" s="41" t="s">
        <v>318</v>
      </c>
      <c r="J31" s="41" t="s">
        <v>319</v>
      </c>
      <c r="K31" s="40" t="n">
        <v>80</v>
      </c>
      <c r="L31" s="40" t="n">
        <v>56</v>
      </c>
    </row>
    <row r="32" customFormat="false" ht="15.75" hidden="false" customHeight="true" outlineLevel="0" collapsed="false">
      <c r="A32" s="46" t="s">
        <v>320</v>
      </c>
      <c r="B32" s="47" t="s">
        <v>261</v>
      </c>
      <c r="C32" s="47" t="s">
        <v>13</v>
      </c>
      <c r="D32" s="47" t="s">
        <v>83</v>
      </c>
      <c r="E32" s="46" t="s">
        <v>222</v>
      </c>
      <c r="F32" s="56" t="s">
        <v>223</v>
      </c>
      <c r="G32" s="50" t="n">
        <v>45792</v>
      </c>
      <c r="H32" s="60" t="s">
        <v>245</v>
      </c>
      <c r="I32" s="47" t="s">
        <v>321</v>
      </c>
      <c r="J32" s="47" t="s">
        <v>322</v>
      </c>
      <c r="K32" s="46" t="n">
        <v>21</v>
      </c>
      <c r="L32" s="46"/>
    </row>
    <row r="33" customFormat="false" ht="15.75" hidden="false" customHeight="true" outlineLevel="0" collapsed="false">
      <c r="A33" s="40" t="s">
        <v>323</v>
      </c>
      <c r="B33" s="41" t="s">
        <v>306</v>
      </c>
      <c r="C33" s="41" t="s">
        <v>15</v>
      </c>
      <c r="D33" s="41" t="s">
        <v>83</v>
      </c>
      <c r="E33" s="40" t="s">
        <v>222</v>
      </c>
      <c r="F33" s="61" t="s">
        <v>252</v>
      </c>
      <c r="G33" s="45" t="n">
        <v>45817</v>
      </c>
      <c r="H33" s="57" t="s">
        <v>224</v>
      </c>
      <c r="I33" s="41" t="s">
        <v>324</v>
      </c>
      <c r="J33" s="41" t="s">
        <v>325</v>
      </c>
      <c r="K33" s="40" t="n">
        <v>40</v>
      </c>
      <c r="L33" s="40"/>
    </row>
    <row r="34" customFormat="false" ht="15.75" hidden="false" customHeight="true" outlineLevel="0" collapsed="false">
      <c r="A34" s="46" t="s">
        <v>326</v>
      </c>
      <c r="B34" s="47" t="s">
        <v>221</v>
      </c>
      <c r="C34" s="47" t="s">
        <v>13</v>
      </c>
      <c r="D34" s="47" t="s">
        <v>134</v>
      </c>
      <c r="E34" s="46" t="s">
        <v>222</v>
      </c>
      <c r="F34" s="61" t="s">
        <v>252</v>
      </c>
      <c r="G34" s="50" t="n">
        <v>45967</v>
      </c>
      <c r="H34" s="62" t="s">
        <v>253</v>
      </c>
      <c r="I34" s="47" t="s">
        <v>327</v>
      </c>
      <c r="J34" s="47" t="s">
        <v>328</v>
      </c>
      <c r="K34" s="46" t="n">
        <v>73</v>
      </c>
      <c r="L34" s="46"/>
    </row>
    <row r="35" customFormat="false" ht="15.75" hidden="false" customHeight="true" outlineLevel="0" collapsed="false">
      <c r="A35" s="40" t="s">
        <v>329</v>
      </c>
      <c r="B35" s="41" t="s">
        <v>265</v>
      </c>
      <c r="C35" s="41" t="s">
        <v>11</v>
      </c>
      <c r="D35" s="41" t="s">
        <v>74</v>
      </c>
      <c r="E35" s="40" t="s">
        <v>229</v>
      </c>
      <c r="F35" s="58" t="s">
        <v>235</v>
      </c>
      <c r="G35" s="45" t="n">
        <v>45699</v>
      </c>
      <c r="H35" s="58" t="s">
        <v>230</v>
      </c>
      <c r="I35" s="41" t="s">
        <v>330</v>
      </c>
      <c r="J35" s="41" t="s">
        <v>331</v>
      </c>
      <c r="K35" s="40" t="n">
        <v>5</v>
      </c>
      <c r="L35" s="40" t="n">
        <v>56</v>
      </c>
    </row>
    <row r="36" customFormat="false" ht="15.75" hidden="false" customHeight="true" outlineLevel="0" collapsed="false">
      <c r="A36" s="46" t="s">
        <v>332</v>
      </c>
      <c r="B36" s="47" t="s">
        <v>333</v>
      </c>
      <c r="C36" s="47" t="s">
        <v>7</v>
      </c>
      <c r="D36" s="47" t="s">
        <v>83</v>
      </c>
      <c r="E36" s="46" t="s">
        <v>222</v>
      </c>
      <c r="F36" s="61" t="s">
        <v>252</v>
      </c>
      <c r="G36" s="50" t="n">
        <v>45847</v>
      </c>
      <c r="H36" s="57" t="s">
        <v>224</v>
      </c>
      <c r="I36" s="47" t="s">
        <v>334</v>
      </c>
      <c r="J36" s="47" t="s">
        <v>335</v>
      </c>
      <c r="K36" s="46" t="n">
        <v>22</v>
      </c>
      <c r="L36" s="46"/>
    </row>
  </sheetData>
  <mergeCells count="2">
    <mergeCell ref="A1:L1"/>
    <mergeCell ref="A5:L5"/>
  </mergeCells>
  <conditionalFormatting sqref="K7:K36">
    <cfRule type="cellIs" priority="2" operator="greaterThan" aboveAverage="0" equalAverage="0" bottom="0" percent="0" rank="0" text="" dxfId="0">
      <formula>60</formula>
    </cfRule>
    <cfRule type="cellIs" priority="3" operator="between" aboveAverage="0" equalAverage="0" bottom="0" percent="0" rank="0" text="" dxfId="1">
      <formula>30</formula>
      <formula>60</formula>
    </cfRule>
  </conditionalFormatting>
  <dataValidations count="2">
    <dataValidation allowBlank="true" errorStyle="stop" operator="between" showDropDown="false" showErrorMessage="false" showInputMessage="false" sqref="H7:H56" type="list">
      <formula1>"Applied,Phone Screen,Technical Interview,Panel Interview,Offer Extended,Hired,Rejected"</formula1>
      <formula2>0</formula2>
    </dataValidation>
    <dataValidation allowBlank="true" errorStyle="stop" operator="between" showDropDown="false" showErrorMessage="false" showInputMessage="false" sqref="F7:F5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8" min="6" style="0" width="13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36" hidden="false" customHeight="true" outlineLevel="0" collapsed="false">
      <c r="A1" s="63" t="s">
        <v>336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customFormat="false" ht="7.5" hidden="false" customHeight="true" outlineLevel="0" collapsed="false"/>
    <row r="3" customFormat="false" ht="30" hidden="false" customHeight="true" outlineLevel="0" collapsed="false">
      <c r="A3" s="39" t="s">
        <v>39</v>
      </c>
      <c r="B3" s="39" t="s">
        <v>337</v>
      </c>
      <c r="C3" s="39" t="s">
        <v>22</v>
      </c>
      <c r="D3" s="39" t="s">
        <v>338</v>
      </c>
      <c r="E3" s="39" t="s">
        <v>51</v>
      </c>
      <c r="F3" s="39" t="s">
        <v>339</v>
      </c>
      <c r="G3" s="39" t="s">
        <v>340</v>
      </c>
      <c r="H3" s="39" t="s">
        <v>341</v>
      </c>
      <c r="I3" s="39" t="s">
        <v>342</v>
      </c>
      <c r="J3" s="39" t="s">
        <v>343</v>
      </c>
      <c r="K3" s="39" t="s">
        <v>344</v>
      </c>
      <c r="L3" s="39" t="s">
        <v>345</v>
      </c>
      <c r="M3" s="39" t="s">
        <v>346</v>
      </c>
      <c r="N3" s="39" t="s">
        <v>347</v>
      </c>
    </row>
    <row r="4" customFormat="false" ht="15.75" hidden="false" customHeight="true" outlineLevel="0" collapsed="false">
      <c r="A4" s="40" t="s">
        <v>52</v>
      </c>
      <c r="B4" s="41" t="s">
        <v>348</v>
      </c>
      <c r="C4" s="41" t="s">
        <v>15</v>
      </c>
      <c r="D4" s="40" t="s">
        <v>349</v>
      </c>
      <c r="E4" s="41" t="s">
        <v>111</v>
      </c>
      <c r="F4" s="40" t="n">
        <v>2.7</v>
      </c>
      <c r="G4" s="40" t="n">
        <v>4.5</v>
      </c>
      <c r="H4" s="40" t="n">
        <v>2.3</v>
      </c>
      <c r="I4" s="40" t="n">
        <f aca="false">AVERAGE(F4:H4)</f>
        <v>3.16666666666667</v>
      </c>
      <c r="J4" s="40" t="n">
        <v>3.4</v>
      </c>
      <c r="K4" s="40" t="n">
        <f aca="false">ROUND((AVERAGE(F4:H4)*0.6+J4*0.4),1)</f>
        <v>3.3</v>
      </c>
      <c r="L4" s="64" t="n">
        <f aca="false">IFERROR(IF(K4&gt;=4.5,0.08,IF(K4&gt;=3.5,0.05,IF(K4&gt;=2.5,0.03,0))),0)</f>
        <v>0.03</v>
      </c>
      <c r="M4" s="40" t="n">
        <f aca="false">IFERROR(IF(K4&gt;=4.5,L4*VLOOKUP(C4,salary_ref,2,0)*0.15,IF(K4&gt;=3.5,L4*VLOOKUP(C4,salary_ref,2,0)*0.1,0)),"N/A")</f>
        <v>0</v>
      </c>
      <c r="N4" s="56" t="s">
        <v>350</v>
      </c>
    </row>
    <row r="5" customFormat="false" ht="15.75" hidden="false" customHeight="true" outlineLevel="0" collapsed="false">
      <c r="A5" s="46" t="s">
        <v>59</v>
      </c>
      <c r="B5" s="47" t="s">
        <v>351</v>
      </c>
      <c r="C5" s="47" t="s">
        <v>7</v>
      </c>
      <c r="D5" s="46" t="s">
        <v>352</v>
      </c>
      <c r="E5" s="47" t="s">
        <v>64</v>
      </c>
      <c r="F5" s="46" t="n">
        <v>4.5</v>
      </c>
      <c r="G5" s="46" t="n">
        <v>3.5</v>
      </c>
      <c r="H5" s="46" t="n">
        <v>4.4</v>
      </c>
      <c r="I5" s="46" t="n">
        <f aca="false">AVERAGE(F5:H5)</f>
        <v>4.13333333333333</v>
      </c>
      <c r="J5" s="46" t="n">
        <v>2.6</v>
      </c>
      <c r="K5" s="46" t="n">
        <f aca="false">ROUND((AVERAGE(F5:H5)*0.6+J5*0.4),1)</f>
        <v>3.5</v>
      </c>
      <c r="L5" s="65" t="n">
        <f aca="false">IFERROR(IF(K5&gt;=4.5,0.08,IF(K5&gt;=3.5,0.05,IF(K5&gt;=2.5,0.03,0))),0)</f>
        <v>0.05</v>
      </c>
      <c r="M5" s="46" t="str">
        <f aca="false">IFERROR(IF(K5&gt;=4.5,L5*VLOOKUP(C5,salary_ref,2,0)*0.15,IF(K5&gt;=3.5,L5*VLOOKUP(C5,salary_ref,2,0)*0.1,0)),"N/A")</f>
        <v>N/A</v>
      </c>
      <c r="N5" s="66" t="s">
        <v>353</v>
      </c>
    </row>
    <row r="6" customFormat="false" ht="15.75" hidden="false" customHeight="true" outlineLevel="0" collapsed="false">
      <c r="A6" s="40" t="s">
        <v>65</v>
      </c>
      <c r="B6" s="41" t="s">
        <v>354</v>
      </c>
      <c r="C6" s="41" t="s">
        <v>17</v>
      </c>
      <c r="D6" s="40" t="s">
        <v>355</v>
      </c>
      <c r="E6" s="41" t="s">
        <v>58</v>
      </c>
      <c r="F6" s="40" t="n">
        <v>3.7</v>
      </c>
      <c r="G6" s="40" t="n">
        <v>2.8</v>
      </c>
      <c r="H6" s="40" t="n">
        <v>3.4</v>
      </c>
      <c r="I6" s="40" t="n">
        <f aca="false">AVERAGE(F6:H6)</f>
        <v>3.3</v>
      </c>
      <c r="J6" s="40" t="n">
        <v>2.7</v>
      </c>
      <c r="K6" s="40" t="n">
        <f aca="false">ROUND((AVERAGE(F6:H6)*0.6+J6*0.4),1)</f>
        <v>3.1</v>
      </c>
      <c r="L6" s="64" t="n">
        <f aca="false">IFERROR(IF(K6&gt;=4.5,0.08,IF(K6&gt;=3.5,0.05,IF(K6&gt;=2.5,0.03,0))),0)</f>
        <v>0.03</v>
      </c>
      <c r="M6" s="40" t="n">
        <f aca="false">IFERROR(IF(K6&gt;=4.5,L6*VLOOKUP(C6,salary_ref,2,0)*0.15,IF(K6&gt;=3.5,L6*VLOOKUP(C6,salary_ref,2,0)*0.1,0)),"N/A")</f>
        <v>0</v>
      </c>
      <c r="N6" s="56" t="s">
        <v>350</v>
      </c>
    </row>
    <row r="7" customFormat="false" ht="15.75" hidden="false" customHeight="true" outlineLevel="0" collapsed="false">
      <c r="A7" s="46" t="s">
        <v>70</v>
      </c>
      <c r="B7" s="47" t="s">
        <v>356</v>
      </c>
      <c r="C7" s="47" t="s">
        <v>19</v>
      </c>
      <c r="D7" s="46" t="s">
        <v>357</v>
      </c>
      <c r="E7" s="47" t="s">
        <v>94</v>
      </c>
      <c r="F7" s="46" t="n">
        <v>3.6</v>
      </c>
      <c r="G7" s="46" t="n">
        <v>2.3</v>
      </c>
      <c r="H7" s="46" t="n">
        <v>4.4</v>
      </c>
      <c r="I7" s="46" t="n">
        <f aca="false">AVERAGE(F7:H7)</f>
        <v>3.43333333333333</v>
      </c>
      <c r="J7" s="46" t="n">
        <v>4.1</v>
      </c>
      <c r="K7" s="46" t="n">
        <f aca="false">ROUND((AVERAGE(F7:H7)*0.6+J7*0.4),1)</f>
        <v>3.7</v>
      </c>
      <c r="L7" s="65" t="n">
        <f aca="false">IFERROR(IF(K7&gt;=4.5,0.08,IF(K7&gt;=3.5,0.05,IF(K7&gt;=2.5,0.03,0))),0)</f>
        <v>0.05</v>
      </c>
      <c r="M7" s="46" t="str">
        <f aca="false">IFERROR(IF(K7&gt;=4.5,L7*VLOOKUP(C7,salary_ref,2,0)*0.15,IF(K7&gt;=3.5,L7*VLOOKUP(C7,salary_ref,2,0)*0.1,0)),"N/A")</f>
        <v>N/A</v>
      </c>
      <c r="N7" s="58" t="s">
        <v>358</v>
      </c>
    </row>
    <row r="8" customFormat="false" ht="15.75" hidden="false" customHeight="true" outlineLevel="0" collapsed="false">
      <c r="A8" s="40" t="s">
        <v>75</v>
      </c>
      <c r="B8" s="41" t="s">
        <v>359</v>
      </c>
      <c r="C8" s="41" t="s">
        <v>9</v>
      </c>
      <c r="D8" s="40" t="s">
        <v>360</v>
      </c>
      <c r="E8" s="41" t="s">
        <v>69</v>
      </c>
      <c r="F8" s="40" t="n">
        <v>4.5</v>
      </c>
      <c r="G8" s="40" t="n">
        <v>4.8</v>
      </c>
      <c r="H8" s="40" t="n">
        <v>4.4</v>
      </c>
      <c r="I8" s="40" t="n">
        <f aca="false">AVERAGE(F8:H8)</f>
        <v>4.56666666666667</v>
      </c>
      <c r="J8" s="40" t="n">
        <v>4.9</v>
      </c>
      <c r="K8" s="40" t="n">
        <f aca="false">ROUND((AVERAGE(F8:H8)*0.6+J8*0.4),1)</f>
        <v>4.7</v>
      </c>
      <c r="L8" s="64" t="n">
        <f aca="false">IFERROR(IF(K8&gt;=4.5,0.08,IF(K8&gt;=3.5,0.05,IF(K8&gt;=2.5,0.03,0))),0)</f>
        <v>0.08</v>
      </c>
      <c r="M8" s="40" t="str">
        <f aca="false">IFERROR(IF(K8&gt;=4.5,L8*VLOOKUP(C8,salary_ref,2,0)*0.15,IF(K8&gt;=3.5,L8*VLOOKUP(C8,salary_ref,2,0)*0.1,0)),"N/A")</f>
        <v>N/A</v>
      </c>
      <c r="N8" s="58" t="s">
        <v>358</v>
      </c>
    </row>
    <row r="9" customFormat="false" ht="15.75" hidden="false" customHeight="true" outlineLevel="0" collapsed="false">
      <c r="A9" s="46" t="s">
        <v>79</v>
      </c>
      <c r="B9" s="47" t="s">
        <v>361</v>
      </c>
      <c r="C9" s="47" t="s">
        <v>17</v>
      </c>
      <c r="D9" s="46" t="s">
        <v>349</v>
      </c>
      <c r="E9" s="47" t="s">
        <v>111</v>
      </c>
      <c r="F9" s="46" t="n">
        <v>4.5</v>
      </c>
      <c r="G9" s="46" t="n">
        <v>4.3</v>
      </c>
      <c r="H9" s="46" t="n">
        <v>3.2</v>
      </c>
      <c r="I9" s="46" t="n">
        <f aca="false">AVERAGE(F9:H9)</f>
        <v>4</v>
      </c>
      <c r="J9" s="46" t="n">
        <v>3.7</v>
      </c>
      <c r="K9" s="46" t="n">
        <f aca="false">ROUND((AVERAGE(F9:H9)*0.6+J9*0.4),1)</f>
        <v>3.9</v>
      </c>
      <c r="L9" s="65" t="n">
        <f aca="false">IFERROR(IF(K9&gt;=4.5,0.08,IF(K9&gt;=3.5,0.05,IF(K9&gt;=2.5,0.03,0))),0)</f>
        <v>0.05</v>
      </c>
      <c r="M9" s="46" t="str">
        <f aca="false">IFERROR(IF(K9&gt;=4.5,L9*VLOOKUP(C9,salary_ref,2,0)*0.15,IF(K9&gt;=3.5,L9*VLOOKUP(C9,salary_ref,2,0)*0.1,0)),"N/A")</f>
        <v>N/A</v>
      </c>
      <c r="N9" s="56" t="s">
        <v>350</v>
      </c>
    </row>
    <row r="10" customFormat="false" ht="15.75" hidden="false" customHeight="true" outlineLevel="0" collapsed="false">
      <c r="A10" s="40" t="s">
        <v>84</v>
      </c>
      <c r="B10" s="41" t="s">
        <v>362</v>
      </c>
      <c r="C10" s="41" t="s">
        <v>19</v>
      </c>
      <c r="D10" s="40" t="s">
        <v>355</v>
      </c>
      <c r="E10" s="41" t="s">
        <v>69</v>
      </c>
      <c r="F10" s="40" t="n">
        <v>2.4</v>
      </c>
      <c r="G10" s="40" t="n">
        <v>4.4</v>
      </c>
      <c r="H10" s="40" t="n">
        <v>2</v>
      </c>
      <c r="I10" s="40" t="n">
        <f aca="false">AVERAGE(F10:H10)</f>
        <v>2.93333333333333</v>
      </c>
      <c r="J10" s="40" t="n">
        <v>5</v>
      </c>
      <c r="K10" s="40" t="n">
        <f aca="false">ROUND((AVERAGE(F10:H10)*0.6+J10*0.4),1)</f>
        <v>3.8</v>
      </c>
      <c r="L10" s="64" t="n">
        <f aca="false">IFERROR(IF(K10&gt;=4.5,0.08,IF(K10&gt;=3.5,0.05,IF(K10&gt;=2.5,0.03,0))),0)</f>
        <v>0.05</v>
      </c>
      <c r="M10" s="40" t="str">
        <f aca="false">IFERROR(IF(K10&gt;=4.5,L10*VLOOKUP(C10,salary_ref,2,0)*0.15,IF(K10&gt;=3.5,L10*VLOOKUP(C10,salary_ref,2,0)*0.1,0)),"N/A")</f>
        <v>N/A</v>
      </c>
      <c r="N10" s="58" t="s">
        <v>358</v>
      </c>
    </row>
    <row r="11" customFormat="false" ht="15.75" hidden="false" customHeight="true" outlineLevel="0" collapsed="false">
      <c r="A11" s="46" t="s">
        <v>87</v>
      </c>
      <c r="B11" s="47" t="s">
        <v>363</v>
      </c>
      <c r="C11" s="47" t="s">
        <v>17</v>
      </c>
      <c r="D11" s="46" t="s">
        <v>355</v>
      </c>
      <c r="E11" s="47" t="s">
        <v>69</v>
      </c>
      <c r="F11" s="46" t="n">
        <v>2.4</v>
      </c>
      <c r="G11" s="46" t="n">
        <v>5</v>
      </c>
      <c r="H11" s="46" t="n">
        <v>4.7</v>
      </c>
      <c r="I11" s="46" t="n">
        <f aca="false">AVERAGE(F11:H11)</f>
        <v>4.03333333333333</v>
      </c>
      <c r="J11" s="46" t="n">
        <v>4.1</v>
      </c>
      <c r="K11" s="46" t="n">
        <f aca="false">ROUND((AVERAGE(F11:H11)*0.6+J11*0.4),1)</f>
        <v>4.1</v>
      </c>
      <c r="L11" s="65" t="n">
        <f aca="false">IFERROR(IF(K11&gt;=4.5,0.08,IF(K11&gt;=3.5,0.05,IF(K11&gt;=2.5,0.03,0))),0)</f>
        <v>0.05</v>
      </c>
      <c r="M11" s="46" t="str">
        <f aca="false">IFERROR(IF(K11&gt;=4.5,L11*VLOOKUP(C11,salary_ref,2,0)*0.15,IF(K11&gt;=3.5,L11*VLOOKUP(C11,salary_ref,2,0)*0.1,0)),"N/A")</f>
        <v>N/A</v>
      </c>
      <c r="N11" s="58" t="s">
        <v>358</v>
      </c>
    </row>
    <row r="12" customFormat="false" ht="15.75" hidden="false" customHeight="true" outlineLevel="0" collapsed="false">
      <c r="A12" s="40" t="s">
        <v>91</v>
      </c>
      <c r="B12" s="41" t="s">
        <v>364</v>
      </c>
      <c r="C12" s="41" t="s">
        <v>11</v>
      </c>
      <c r="D12" s="40" t="s">
        <v>352</v>
      </c>
      <c r="E12" s="41" t="s">
        <v>134</v>
      </c>
      <c r="F12" s="40" t="n">
        <v>2.3</v>
      </c>
      <c r="G12" s="40" t="n">
        <v>4.5</v>
      </c>
      <c r="H12" s="40" t="n">
        <v>4.7</v>
      </c>
      <c r="I12" s="40" t="n">
        <f aca="false">AVERAGE(F12:H12)</f>
        <v>3.83333333333333</v>
      </c>
      <c r="J12" s="40" t="n">
        <v>4.8</v>
      </c>
      <c r="K12" s="40" t="n">
        <f aca="false">ROUND((AVERAGE(F12:H12)*0.6+J12*0.4),1)</f>
        <v>4.2</v>
      </c>
      <c r="L12" s="64" t="n">
        <f aca="false">IFERROR(IF(K12&gt;=4.5,0.08,IF(K12&gt;=3.5,0.05,IF(K12&gt;=2.5,0.03,0))),0)</f>
        <v>0.05</v>
      </c>
      <c r="M12" s="40" t="str">
        <f aca="false">IFERROR(IF(K12&gt;=4.5,L12*VLOOKUP(C12,salary_ref,2,0)*0.15,IF(K12&gt;=3.5,L12*VLOOKUP(C12,salary_ref,2,0)*0.1,0)),"N/A")</f>
        <v>N/A</v>
      </c>
      <c r="N12" s="58" t="s">
        <v>358</v>
      </c>
    </row>
    <row r="13" customFormat="false" ht="15.75" hidden="false" customHeight="true" outlineLevel="0" collapsed="false">
      <c r="A13" s="46" t="s">
        <v>95</v>
      </c>
      <c r="B13" s="47" t="s">
        <v>365</v>
      </c>
      <c r="C13" s="47" t="s">
        <v>19</v>
      </c>
      <c r="D13" s="46" t="s">
        <v>352</v>
      </c>
      <c r="E13" s="47" t="s">
        <v>58</v>
      </c>
      <c r="F13" s="46" t="n">
        <v>4.5</v>
      </c>
      <c r="G13" s="46" t="n">
        <v>4.7</v>
      </c>
      <c r="H13" s="46" t="n">
        <v>4.1</v>
      </c>
      <c r="I13" s="46" t="n">
        <f aca="false">AVERAGE(F13:H13)</f>
        <v>4.43333333333333</v>
      </c>
      <c r="J13" s="46" t="n">
        <v>2.7</v>
      </c>
      <c r="K13" s="46" t="n">
        <f aca="false">ROUND((AVERAGE(F13:H13)*0.6+J13*0.4),1)</f>
        <v>3.7</v>
      </c>
      <c r="L13" s="65" t="n">
        <f aca="false">IFERROR(IF(K13&gt;=4.5,0.08,IF(K13&gt;=3.5,0.05,IF(K13&gt;=2.5,0.03,0))),0)</f>
        <v>0.05</v>
      </c>
      <c r="M13" s="46" t="str">
        <f aca="false">IFERROR(IF(K13&gt;=4.5,L13*VLOOKUP(C13,salary_ref,2,0)*0.15,IF(K13&gt;=3.5,L13*VLOOKUP(C13,salary_ref,2,0)*0.1,0)),"N/A")</f>
        <v>N/A</v>
      </c>
      <c r="N13" s="61" t="s">
        <v>366</v>
      </c>
    </row>
    <row r="14" customFormat="false" ht="15.75" hidden="false" customHeight="true" outlineLevel="0" collapsed="false">
      <c r="A14" s="40" t="s">
        <v>98</v>
      </c>
      <c r="B14" s="41" t="s">
        <v>367</v>
      </c>
      <c r="C14" s="41" t="s">
        <v>19</v>
      </c>
      <c r="D14" s="40" t="s">
        <v>357</v>
      </c>
      <c r="E14" s="41" t="s">
        <v>134</v>
      </c>
      <c r="F14" s="40" t="n">
        <v>2.7</v>
      </c>
      <c r="G14" s="40" t="n">
        <v>2.6</v>
      </c>
      <c r="H14" s="40" t="n">
        <v>4.5</v>
      </c>
      <c r="I14" s="40" t="n">
        <f aca="false">AVERAGE(F14:H14)</f>
        <v>3.26666666666667</v>
      </c>
      <c r="J14" s="40" t="n">
        <v>2.5</v>
      </c>
      <c r="K14" s="40" t="n">
        <f aca="false">ROUND((AVERAGE(F14:H14)*0.6+J14*0.4),1)</f>
        <v>3</v>
      </c>
      <c r="L14" s="64" t="n">
        <f aca="false">IFERROR(IF(K14&gt;=4.5,0.08,IF(K14&gt;=3.5,0.05,IF(K14&gt;=2.5,0.03,0))),0)</f>
        <v>0.03</v>
      </c>
      <c r="M14" s="40" t="n">
        <f aca="false">IFERROR(IF(K14&gt;=4.5,L14*VLOOKUP(C14,salary_ref,2,0)*0.15,IF(K14&gt;=3.5,L14*VLOOKUP(C14,salary_ref,2,0)*0.1,0)),"N/A")</f>
        <v>0</v>
      </c>
      <c r="N14" s="58" t="s">
        <v>358</v>
      </c>
    </row>
    <row r="15" customFormat="false" ht="15.75" hidden="false" customHeight="true" outlineLevel="0" collapsed="false">
      <c r="A15" s="46" t="s">
        <v>101</v>
      </c>
      <c r="B15" s="47" t="s">
        <v>368</v>
      </c>
      <c r="C15" s="47" t="s">
        <v>13</v>
      </c>
      <c r="D15" s="46" t="s">
        <v>352</v>
      </c>
      <c r="E15" s="47" t="s">
        <v>69</v>
      </c>
      <c r="F15" s="46" t="n">
        <v>4.3</v>
      </c>
      <c r="G15" s="46" t="n">
        <v>4.9</v>
      </c>
      <c r="H15" s="46" t="n">
        <v>3.7</v>
      </c>
      <c r="I15" s="46" t="n">
        <f aca="false">AVERAGE(F15:H15)</f>
        <v>4.3</v>
      </c>
      <c r="J15" s="46" t="n">
        <v>4.2</v>
      </c>
      <c r="K15" s="46" t="n">
        <f aca="false">ROUND((AVERAGE(F15:H15)*0.6+J15*0.4),1)</f>
        <v>4.3</v>
      </c>
      <c r="L15" s="65" t="n">
        <f aca="false">IFERROR(IF(K15&gt;=4.5,0.08,IF(K15&gt;=3.5,0.05,IF(K15&gt;=2.5,0.03,0))),0)</f>
        <v>0.05</v>
      </c>
      <c r="M15" s="46" t="str">
        <f aca="false">IFERROR(IF(K15&gt;=4.5,L15*VLOOKUP(C15,salary_ref,2,0)*0.15,IF(K15&gt;=3.5,L15*VLOOKUP(C15,salary_ref,2,0)*0.1,0)),"N/A")</f>
        <v>N/A</v>
      </c>
      <c r="N15" s="66" t="s">
        <v>353</v>
      </c>
    </row>
    <row r="16" customFormat="false" ht="15.75" hidden="false" customHeight="true" outlineLevel="0" collapsed="false">
      <c r="A16" s="40" t="s">
        <v>104</v>
      </c>
      <c r="B16" s="41" t="s">
        <v>369</v>
      </c>
      <c r="C16" s="41" t="s">
        <v>9</v>
      </c>
      <c r="D16" s="40" t="s">
        <v>355</v>
      </c>
      <c r="E16" s="41" t="s">
        <v>69</v>
      </c>
      <c r="F16" s="40" t="n">
        <v>3.2</v>
      </c>
      <c r="G16" s="40" t="n">
        <v>3.6</v>
      </c>
      <c r="H16" s="40" t="n">
        <v>2.9</v>
      </c>
      <c r="I16" s="40" t="n">
        <f aca="false">AVERAGE(F16:H16)</f>
        <v>3.23333333333333</v>
      </c>
      <c r="J16" s="40" t="n">
        <v>4.6</v>
      </c>
      <c r="K16" s="40" t="n">
        <f aca="false">ROUND((AVERAGE(F16:H16)*0.6+J16*0.4),1)</f>
        <v>3.8</v>
      </c>
      <c r="L16" s="64" t="n">
        <f aca="false">IFERROR(IF(K16&gt;=4.5,0.08,IF(K16&gt;=3.5,0.05,IF(K16&gt;=2.5,0.03,0))),0)</f>
        <v>0.05</v>
      </c>
      <c r="M16" s="40" t="str">
        <f aca="false">IFERROR(IF(K16&gt;=4.5,L16*VLOOKUP(C16,salary_ref,2,0)*0.15,IF(K16&gt;=3.5,L16*VLOOKUP(C16,salary_ref,2,0)*0.1,0)),"N/A")</f>
        <v>N/A</v>
      </c>
      <c r="N16" s="58" t="s">
        <v>358</v>
      </c>
    </row>
    <row r="17" customFormat="false" ht="15.75" hidden="false" customHeight="true" outlineLevel="0" collapsed="false">
      <c r="A17" s="46" t="s">
        <v>108</v>
      </c>
      <c r="B17" s="47" t="s">
        <v>179</v>
      </c>
      <c r="C17" s="47" t="s">
        <v>7</v>
      </c>
      <c r="D17" s="46" t="s">
        <v>355</v>
      </c>
      <c r="E17" s="47" t="s">
        <v>83</v>
      </c>
      <c r="F17" s="46" t="n">
        <v>2.4</v>
      </c>
      <c r="G17" s="46" t="n">
        <v>2.3</v>
      </c>
      <c r="H17" s="46" t="n">
        <v>4.6</v>
      </c>
      <c r="I17" s="46" t="n">
        <f aca="false">AVERAGE(F17:H17)</f>
        <v>3.1</v>
      </c>
      <c r="J17" s="46" t="n">
        <v>3.5</v>
      </c>
      <c r="K17" s="46" t="n">
        <f aca="false">ROUND((AVERAGE(F17:H17)*0.6+J17*0.4),1)</f>
        <v>3.3</v>
      </c>
      <c r="L17" s="65" t="n">
        <f aca="false">IFERROR(IF(K17&gt;=4.5,0.08,IF(K17&gt;=3.5,0.05,IF(K17&gt;=2.5,0.03,0))),0)</f>
        <v>0.03</v>
      </c>
      <c r="M17" s="46" t="n">
        <f aca="false">IFERROR(IF(K17&gt;=4.5,L17*VLOOKUP(C17,salary_ref,2,0)*0.15,IF(K17&gt;=3.5,L17*VLOOKUP(C17,salary_ref,2,0)*0.1,0)),"N/A")</f>
        <v>0</v>
      </c>
      <c r="N17" s="56" t="s">
        <v>350</v>
      </c>
    </row>
    <row r="18" customFormat="false" ht="15.75" hidden="false" customHeight="true" outlineLevel="0" collapsed="false">
      <c r="A18" s="40" t="s">
        <v>112</v>
      </c>
      <c r="B18" s="41" t="s">
        <v>370</v>
      </c>
      <c r="C18" s="41" t="s">
        <v>9</v>
      </c>
      <c r="D18" s="40" t="s">
        <v>352</v>
      </c>
      <c r="E18" s="41" t="s">
        <v>111</v>
      </c>
      <c r="F18" s="40" t="n">
        <v>2.9</v>
      </c>
      <c r="G18" s="40" t="n">
        <v>4.6</v>
      </c>
      <c r="H18" s="40" t="n">
        <v>3.6</v>
      </c>
      <c r="I18" s="40" t="n">
        <f aca="false">AVERAGE(F18:H18)</f>
        <v>3.7</v>
      </c>
      <c r="J18" s="40" t="n">
        <v>4.5</v>
      </c>
      <c r="K18" s="40" t="n">
        <f aca="false">ROUND((AVERAGE(F18:H18)*0.6+J18*0.4),1)</f>
        <v>4</v>
      </c>
      <c r="L18" s="64" t="n">
        <f aca="false">IFERROR(IF(K18&gt;=4.5,0.08,IF(K18&gt;=3.5,0.05,IF(K18&gt;=2.5,0.03,0))),0)</f>
        <v>0.05</v>
      </c>
      <c r="M18" s="40" t="str">
        <f aca="false">IFERROR(IF(K18&gt;=4.5,L18*VLOOKUP(C18,salary_ref,2,0)*0.15,IF(K18&gt;=3.5,L18*VLOOKUP(C18,salary_ref,2,0)*0.1,0)),"N/A")</f>
        <v>N/A</v>
      </c>
      <c r="N18" s="61" t="s">
        <v>366</v>
      </c>
    </row>
    <row r="19" customFormat="false" ht="15.75" hidden="false" customHeight="true" outlineLevel="0" collapsed="false">
      <c r="A19" s="46" t="s">
        <v>115</v>
      </c>
      <c r="B19" s="47" t="s">
        <v>371</v>
      </c>
      <c r="C19" s="47" t="s">
        <v>15</v>
      </c>
      <c r="D19" s="46" t="s">
        <v>360</v>
      </c>
      <c r="E19" s="47" t="s">
        <v>69</v>
      </c>
      <c r="F19" s="46" t="n">
        <v>4.6</v>
      </c>
      <c r="G19" s="46" t="n">
        <v>3</v>
      </c>
      <c r="H19" s="46" t="n">
        <v>4.7</v>
      </c>
      <c r="I19" s="46" t="n">
        <f aca="false">AVERAGE(F19:H19)</f>
        <v>4.1</v>
      </c>
      <c r="J19" s="46" t="n">
        <v>4.3</v>
      </c>
      <c r="K19" s="46" t="n">
        <f aca="false">ROUND((AVERAGE(F19:H19)*0.6+J19*0.4),1)</f>
        <v>4.2</v>
      </c>
      <c r="L19" s="65" t="n">
        <f aca="false">IFERROR(IF(K19&gt;=4.5,0.08,IF(K19&gt;=3.5,0.05,IF(K19&gt;=2.5,0.03,0))),0)</f>
        <v>0.05</v>
      </c>
      <c r="M19" s="46" t="str">
        <f aca="false">IFERROR(IF(K19&gt;=4.5,L19*VLOOKUP(C19,salary_ref,2,0)*0.15,IF(K19&gt;=3.5,L19*VLOOKUP(C19,salary_ref,2,0)*0.1,0)),"N/A")</f>
        <v>N/A</v>
      </c>
      <c r="N19" s="61" t="s">
        <v>366</v>
      </c>
    </row>
    <row r="20" customFormat="false" ht="15.75" hidden="false" customHeight="true" outlineLevel="0" collapsed="false">
      <c r="A20" s="40" t="s">
        <v>118</v>
      </c>
      <c r="B20" s="41" t="s">
        <v>372</v>
      </c>
      <c r="C20" s="41" t="s">
        <v>18</v>
      </c>
      <c r="D20" s="40" t="s">
        <v>355</v>
      </c>
      <c r="E20" s="41" t="s">
        <v>74</v>
      </c>
      <c r="F20" s="40" t="n">
        <v>4.9</v>
      </c>
      <c r="G20" s="40" t="n">
        <v>4.6</v>
      </c>
      <c r="H20" s="40" t="n">
        <v>4.5</v>
      </c>
      <c r="I20" s="40" t="n">
        <f aca="false">AVERAGE(F20:H20)</f>
        <v>4.66666666666667</v>
      </c>
      <c r="J20" s="40" t="n">
        <v>4</v>
      </c>
      <c r="K20" s="40" t="n">
        <f aca="false">ROUND((AVERAGE(F20:H20)*0.6+J20*0.4),1)</f>
        <v>4.4</v>
      </c>
      <c r="L20" s="64" t="n">
        <f aca="false">IFERROR(IF(K20&gt;=4.5,0.08,IF(K20&gt;=3.5,0.05,IF(K20&gt;=2.5,0.03,0))),0)</f>
        <v>0.05</v>
      </c>
      <c r="M20" s="40" t="str">
        <f aca="false">IFERROR(IF(K20&gt;=4.5,L20*VLOOKUP(C20,salary_ref,2,0)*0.15,IF(K20&gt;=3.5,L20*VLOOKUP(C20,salary_ref,2,0)*0.1,0)),"N/A")</f>
        <v>N/A</v>
      </c>
      <c r="N20" s="58" t="s">
        <v>358</v>
      </c>
    </row>
    <row r="21" customFormat="false" ht="15.75" hidden="false" customHeight="true" outlineLevel="0" collapsed="false">
      <c r="A21" s="46" t="s">
        <v>120</v>
      </c>
      <c r="B21" s="47" t="s">
        <v>373</v>
      </c>
      <c r="C21" s="47" t="s">
        <v>11</v>
      </c>
      <c r="D21" s="46" t="s">
        <v>349</v>
      </c>
      <c r="E21" s="47" t="s">
        <v>134</v>
      </c>
      <c r="F21" s="46" t="n">
        <v>4.8</v>
      </c>
      <c r="G21" s="46" t="n">
        <v>4.1</v>
      </c>
      <c r="H21" s="46" t="n">
        <v>2.6</v>
      </c>
      <c r="I21" s="46" t="n">
        <f aca="false">AVERAGE(F21:H21)</f>
        <v>3.83333333333333</v>
      </c>
      <c r="J21" s="46" t="n">
        <v>4.5</v>
      </c>
      <c r="K21" s="46" t="n">
        <f aca="false">ROUND((AVERAGE(F21:H21)*0.6+J21*0.4),1)</f>
        <v>4.1</v>
      </c>
      <c r="L21" s="65" t="n">
        <f aca="false">IFERROR(IF(K21&gt;=4.5,0.08,IF(K21&gt;=3.5,0.05,IF(K21&gt;=2.5,0.03,0))),0)</f>
        <v>0.05</v>
      </c>
      <c r="M21" s="46" t="str">
        <f aca="false">IFERROR(IF(K21&gt;=4.5,L21*VLOOKUP(C21,salary_ref,2,0)*0.15,IF(K21&gt;=3.5,L21*VLOOKUP(C21,salary_ref,2,0)*0.1,0)),"N/A")</f>
        <v>N/A</v>
      </c>
      <c r="N21" s="58" t="s">
        <v>358</v>
      </c>
    </row>
    <row r="22" customFormat="false" ht="15.75" hidden="false" customHeight="true" outlineLevel="0" collapsed="false">
      <c r="A22" s="40" t="s">
        <v>124</v>
      </c>
      <c r="B22" s="41" t="s">
        <v>374</v>
      </c>
      <c r="C22" s="41" t="s">
        <v>9</v>
      </c>
      <c r="D22" s="40" t="s">
        <v>355</v>
      </c>
      <c r="E22" s="41" t="s">
        <v>83</v>
      </c>
      <c r="F22" s="40" t="n">
        <v>4.5</v>
      </c>
      <c r="G22" s="40" t="n">
        <v>2.8</v>
      </c>
      <c r="H22" s="40" t="n">
        <v>2.5</v>
      </c>
      <c r="I22" s="40" t="n">
        <f aca="false">AVERAGE(F22:H22)</f>
        <v>3.26666666666667</v>
      </c>
      <c r="J22" s="40" t="n">
        <v>4.9</v>
      </c>
      <c r="K22" s="40" t="n">
        <f aca="false">ROUND((AVERAGE(F22:H22)*0.6+J22*0.4),1)</f>
        <v>3.9</v>
      </c>
      <c r="L22" s="64" t="n">
        <f aca="false">IFERROR(IF(K22&gt;=4.5,0.08,IF(K22&gt;=3.5,0.05,IF(K22&gt;=2.5,0.03,0))),0)</f>
        <v>0.05</v>
      </c>
      <c r="M22" s="40" t="str">
        <f aca="false">IFERROR(IF(K22&gt;=4.5,L22*VLOOKUP(C22,salary_ref,2,0)*0.15,IF(K22&gt;=3.5,L22*VLOOKUP(C22,salary_ref,2,0)*0.1,0)),"N/A")</f>
        <v>N/A</v>
      </c>
      <c r="N22" s="58" t="s">
        <v>358</v>
      </c>
    </row>
    <row r="23" customFormat="false" ht="15.75" hidden="false" customHeight="true" outlineLevel="0" collapsed="false">
      <c r="A23" s="46" t="s">
        <v>128</v>
      </c>
      <c r="B23" s="47" t="s">
        <v>375</v>
      </c>
      <c r="C23" s="47" t="s">
        <v>15</v>
      </c>
      <c r="D23" s="46" t="s">
        <v>357</v>
      </c>
      <c r="E23" s="47" t="s">
        <v>69</v>
      </c>
      <c r="F23" s="46" t="n">
        <v>3.4</v>
      </c>
      <c r="G23" s="46" t="n">
        <v>3.9</v>
      </c>
      <c r="H23" s="46" t="n">
        <v>4.5</v>
      </c>
      <c r="I23" s="46" t="n">
        <f aca="false">AVERAGE(F23:H23)</f>
        <v>3.93333333333333</v>
      </c>
      <c r="J23" s="46" t="n">
        <v>2.1</v>
      </c>
      <c r="K23" s="46" t="n">
        <f aca="false">ROUND((AVERAGE(F23:H23)*0.6+J23*0.4),1)</f>
        <v>3.2</v>
      </c>
      <c r="L23" s="65" t="n">
        <f aca="false">IFERROR(IF(K23&gt;=4.5,0.08,IF(K23&gt;=3.5,0.05,IF(K23&gt;=2.5,0.03,0))),0)</f>
        <v>0.03</v>
      </c>
      <c r="M23" s="46" t="n">
        <f aca="false">IFERROR(IF(K23&gt;=4.5,L23*VLOOKUP(C23,salary_ref,2,0)*0.15,IF(K23&gt;=3.5,L23*VLOOKUP(C23,salary_ref,2,0)*0.1,0)),"N/A")</f>
        <v>0</v>
      </c>
      <c r="N23" s="61" t="s">
        <v>366</v>
      </c>
    </row>
    <row r="24" customFormat="false" ht="15.75" hidden="false" customHeight="true" outlineLevel="0" collapsed="false">
      <c r="A24" s="40" t="s">
        <v>130</v>
      </c>
      <c r="B24" s="41" t="s">
        <v>376</v>
      </c>
      <c r="C24" s="41" t="s">
        <v>9</v>
      </c>
      <c r="D24" s="40" t="s">
        <v>360</v>
      </c>
      <c r="E24" s="41" t="s">
        <v>74</v>
      </c>
      <c r="F24" s="40" t="n">
        <v>2.3</v>
      </c>
      <c r="G24" s="40" t="n">
        <v>3.1</v>
      </c>
      <c r="H24" s="40" t="n">
        <v>2.4</v>
      </c>
      <c r="I24" s="40" t="n">
        <f aca="false">AVERAGE(F24:H24)</f>
        <v>2.6</v>
      </c>
      <c r="J24" s="40" t="n">
        <v>4.8</v>
      </c>
      <c r="K24" s="40" t="n">
        <f aca="false">ROUND((AVERAGE(F24:H24)*0.6+J24*0.4),1)</f>
        <v>3.5</v>
      </c>
      <c r="L24" s="64" t="n">
        <f aca="false">IFERROR(IF(K24&gt;=4.5,0.08,IF(K24&gt;=3.5,0.05,IF(K24&gt;=2.5,0.03,0))),0)</f>
        <v>0.05</v>
      </c>
      <c r="M24" s="40" t="str">
        <f aca="false">IFERROR(IF(K24&gt;=4.5,L24*VLOOKUP(C24,salary_ref,2,0)*0.15,IF(K24&gt;=3.5,L24*VLOOKUP(C24,salary_ref,2,0)*0.1,0)),"N/A")</f>
        <v>N/A</v>
      </c>
      <c r="N24" s="56" t="s">
        <v>350</v>
      </c>
    </row>
    <row r="25" customFormat="false" ht="15.75" hidden="false" customHeight="true" outlineLevel="0" collapsed="false">
      <c r="A25" s="46" t="s">
        <v>132</v>
      </c>
      <c r="B25" s="47" t="s">
        <v>377</v>
      </c>
      <c r="C25" s="47" t="s">
        <v>9</v>
      </c>
      <c r="D25" s="46" t="s">
        <v>357</v>
      </c>
      <c r="E25" s="47" t="s">
        <v>69</v>
      </c>
      <c r="F25" s="46" t="n">
        <v>3.7</v>
      </c>
      <c r="G25" s="46" t="n">
        <v>5</v>
      </c>
      <c r="H25" s="46" t="n">
        <v>3.2</v>
      </c>
      <c r="I25" s="46" t="n">
        <f aca="false">AVERAGE(F25:H25)</f>
        <v>3.96666666666667</v>
      </c>
      <c r="J25" s="46" t="n">
        <v>4.1</v>
      </c>
      <c r="K25" s="46" t="n">
        <f aca="false">ROUND((AVERAGE(F25:H25)*0.6+J25*0.4),1)</f>
        <v>4</v>
      </c>
      <c r="L25" s="65" t="n">
        <f aca="false">IFERROR(IF(K25&gt;=4.5,0.08,IF(K25&gt;=3.5,0.05,IF(K25&gt;=2.5,0.03,0))),0)</f>
        <v>0.05</v>
      </c>
      <c r="M25" s="46" t="str">
        <f aca="false">IFERROR(IF(K25&gt;=4.5,L25*VLOOKUP(C25,salary_ref,2,0)*0.15,IF(K25&gt;=3.5,L25*VLOOKUP(C25,salary_ref,2,0)*0.1,0)),"N/A")</f>
        <v>N/A</v>
      </c>
      <c r="N25" s="56" t="s">
        <v>350</v>
      </c>
    </row>
    <row r="26" customFormat="false" ht="15.75" hidden="false" customHeight="true" outlineLevel="0" collapsed="false">
      <c r="A26" s="40" t="s">
        <v>135</v>
      </c>
      <c r="B26" s="41" t="s">
        <v>378</v>
      </c>
      <c r="C26" s="41" t="s">
        <v>17</v>
      </c>
      <c r="D26" s="40" t="s">
        <v>349</v>
      </c>
      <c r="E26" s="41" t="s">
        <v>111</v>
      </c>
      <c r="F26" s="40" t="n">
        <v>2.7</v>
      </c>
      <c r="G26" s="40" t="n">
        <v>3.5</v>
      </c>
      <c r="H26" s="40" t="n">
        <v>3.3</v>
      </c>
      <c r="I26" s="40" t="n">
        <f aca="false">AVERAGE(F26:H26)</f>
        <v>3.16666666666667</v>
      </c>
      <c r="J26" s="40" t="n">
        <v>3.7</v>
      </c>
      <c r="K26" s="40" t="n">
        <f aca="false">ROUND((AVERAGE(F26:H26)*0.6+J26*0.4),1)</f>
        <v>3.4</v>
      </c>
      <c r="L26" s="64" t="n">
        <f aca="false">IFERROR(IF(K26&gt;=4.5,0.08,IF(K26&gt;=3.5,0.05,IF(K26&gt;=2.5,0.03,0))),0)</f>
        <v>0.03</v>
      </c>
      <c r="M26" s="40" t="n">
        <f aca="false">IFERROR(IF(K26&gt;=4.5,L26*VLOOKUP(C26,salary_ref,2,0)*0.15,IF(K26&gt;=3.5,L26*VLOOKUP(C26,salary_ref,2,0)*0.1,0)),"N/A")</f>
        <v>0</v>
      </c>
      <c r="N26" s="61" t="s">
        <v>366</v>
      </c>
    </row>
    <row r="27" customFormat="false" ht="15.75" hidden="false" customHeight="true" outlineLevel="0" collapsed="false">
      <c r="A27" s="46" t="s">
        <v>137</v>
      </c>
      <c r="B27" s="47" t="s">
        <v>379</v>
      </c>
      <c r="C27" s="47" t="s">
        <v>9</v>
      </c>
      <c r="D27" s="46" t="s">
        <v>352</v>
      </c>
      <c r="E27" s="47" t="s">
        <v>111</v>
      </c>
      <c r="F27" s="46" t="n">
        <v>4</v>
      </c>
      <c r="G27" s="46" t="n">
        <v>3.9</v>
      </c>
      <c r="H27" s="46" t="n">
        <v>3.9</v>
      </c>
      <c r="I27" s="46" t="n">
        <f aca="false">AVERAGE(F27:H27)</f>
        <v>3.93333333333333</v>
      </c>
      <c r="J27" s="46" t="n">
        <v>3</v>
      </c>
      <c r="K27" s="46" t="n">
        <f aca="false">ROUND((AVERAGE(F27:H27)*0.6+J27*0.4),1)</f>
        <v>3.6</v>
      </c>
      <c r="L27" s="65" t="n">
        <f aca="false">IFERROR(IF(K27&gt;=4.5,0.08,IF(K27&gt;=3.5,0.05,IF(K27&gt;=2.5,0.03,0))),0)</f>
        <v>0.05</v>
      </c>
      <c r="M27" s="46" t="str">
        <f aca="false">IFERROR(IF(K27&gt;=4.5,L27*VLOOKUP(C27,salary_ref,2,0)*0.15,IF(K27&gt;=3.5,L27*VLOOKUP(C27,salary_ref,2,0)*0.1,0)),"N/A")</f>
        <v>N/A</v>
      </c>
      <c r="N27" s="66" t="s">
        <v>353</v>
      </c>
    </row>
    <row r="28" customFormat="false" ht="15.75" hidden="false" customHeight="true" outlineLevel="0" collapsed="false">
      <c r="A28" s="40" t="s">
        <v>140</v>
      </c>
      <c r="B28" s="41" t="s">
        <v>380</v>
      </c>
      <c r="C28" s="41" t="s">
        <v>13</v>
      </c>
      <c r="D28" s="40" t="s">
        <v>360</v>
      </c>
      <c r="E28" s="41" t="s">
        <v>69</v>
      </c>
      <c r="F28" s="40" t="n">
        <v>4.4</v>
      </c>
      <c r="G28" s="40" t="n">
        <v>4.8</v>
      </c>
      <c r="H28" s="40" t="n">
        <v>3</v>
      </c>
      <c r="I28" s="40" t="n">
        <f aca="false">AVERAGE(F28:H28)</f>
        <v>4.06666666666667</v>
      </c>
      <c r="J28" s="40" t="n">
        <v>2.4</v>
      </c>
      <c r="K28" s="40" t="n">
        <f aca="false">ROUND((AVERAGE(F28:H28)*0.6+J28*0.4),1)</f>
        <v>3.4</v>
      </c>
      <c r="L28" s="64" t="n">
        <f aca="false">IFERROR(IF(K28&gt;=4.5,0.08,IF(K28&gt;=3.5,0.05,IF(K28&gt;=2.5,0.03,0))),0)</f>
        <v>0.03</v>
      </c>
      <c r="M28" s="40" t="n">
        <f aca="false">IFERROR(IF(K28&gt;=4.5,L28*VLOOKUP(C28,salary_ref,2,0)*0.15,IF(K28&gt;=3.5,L28*VLOOKUP(C28,salary_ref,2,0)*0.1,0)),"N/A")</f>
        <v>0</v>
      </c>
      <c r="N28" s="66" t="s">
        <v>353</v>
      </c>
    </row>
    <row r="29" customFormat="false" ht="15.75" hidden="false" customHeight="true" outlineLevel="0" collapsed="false">
      <c r="A29" s="46" t="s">
        <v>142</v>
      </c>
      <c r="B29" s="47" t="s">
        <v>381</v>
      </c>
      <c r="C29" s="47" t="s">
        <v>15</v>
      </c>
      <c r="D29" s="46" t="s">
        <v>360</v>
      </c>
      <c r="E29" s="47" t="s">
        <v>64</v>
      </c>
      <c r="F29" s="46" t="n">
        <v>4.1</v>
      </c>
      <c r="G29" s="46" t="n">
        <v>2.3</v>
      </c>
      <c r="H29" s="46" t="n">
        <v>3.8</v>
      </c>
      <c r="I29" s="46" t="n">
        <f aca="false">AVERAGE(F29:H29)</f>
        <v>3.4</v>
      </c>
      <c r="J29" s="46" t="n">
        <v>2.2</v>
      </c>
      <c r="K29" s="46" t="n">
        <f aca="false">ROUND((AVERAGE(F29:H29)*0.6+J29*0.4),1)</f>
        <v>2.9</v>
      </c>
      <c r="L29" s="65" t="n">
        <f aca="false">IFERROR(IF(K29&gt;=4.5,0.08,IF(K29&gt;=3.5,0.05,IF(K29&gt;=2.5,0.03,0))),0)</f>
        <v>0.03</v>
      </c>
      <c r="M29" s="46" t="n">
        <f aca="false">IFERROR(IF(K29&gt;=4.5,L29*VLOOKUP(C29,salary_ref,2,0)*0.15,IF(K29&gt;=3.5,L29*VLOOKUP(C29,salary_ref,2,0)*0.1,0)),"N/A")</f>
        <v>0</v>
      </c>
      <c r="N29" s="58" t="s">
        <v>358</v>
      </c>
    </row>
    <row r="30" customFormat="false" ht="15.75" hidden="false" customHeight="true" outlineLevel="0" collapsed="false">
      <c r="A30" s="40" t="s">
        <v>144</v>
      </c>
      <c r="B30" s="41" t="s">
        <v>382</v>
      </c>
      <c r="C30" s="41" t="s">
        <v>15</v>
      </c>
      <c r="D30" s="40" t="s">
        <v>355</v>
      </c>
      <c r="E30" s="41" t="s">
        <v>69</v>
      </c>
      <c r="F30" s="40" t="n">
        <v>3.3</v>
      </c>
      <c r="G30" s="40" t="n">
        <v>3.6</v>
      </c>
      <c r="H30" s="40" t="n">
        <v>3.3</v>
      </c>
      <c r="I30" s="40" t="n">
        <f aca="false">AVERAGE(F30:H30)</f>
        <v>3.4</v>
      </c>
      <c r="J30" s="40" t="n">
        <v>3.2</v>
      </c>
      <c r="K30" s="40" t="n">
        <f aca="false">ROUND((AVERAGE(F30:H30)*0.6+J30*0.4),1)</f>
        <v>3.3</v>
      </c>
      <c r="L30" s="64" t="n">
        <f aca="false">IFERROR(IF(K30&gt;=4.5,0.08,IF(K30&gt;=3.5,0.05,IF(K30&gt;=2.5,0.03,0))),0)</f>
        <v>0.03</v>
      </c>
      <c r="M30" s="40" t="n">
        <f aca="false">IFERROR(IF(K30&gt;=4.5,L30*VLOOKUP(C30,salary_ref,2,0)*0.15,IF(K30&gt;=3.5,L30*VLOOKUP(C30,salary_ref,2,0)*0.1,0)),"N/A")</f>
        <v>0</v>
      </c>
      <c r="N30" s="66" t="s">
        <v>353</v>
      </c>
    </row>
    <row r="31" customFormat="false" ht="15.75" hidden="false" customHeight="true" outlineLevel="0" collapsed="false">
      <c r="A31" s="46" t="s">
        <v>147</v>
      </c>
      <c r="B31" s="47" t="s">
        <v>383</v>
      </c>
      <c r="C31" s="47" t="s">
        <v>19</v>
      </c>
      <c r="D31" s="46" t="s">
        <v>360</v>
      </c>
      <c r="E31" s="47" t="s">
        <v>134</v>
      </c>
      <c r="F31" s="46" t="n">
        <v>4.7</v>
      </c>
      <c r="G31" s="46" t="n">
        <v>3.2</v>
      </c>
      <c r="H31" s="46" t="n">
        <v>4.6</v>
      </c>
      <c r="I31" s="46" t="n">
        <f aca="false">AVERAGE(F31:H31)</f>
        <v>4.16666666666667</v>
      </c>
      <c r="J31" s="46" t="n">
        <v>3.3</v>
      </c>
      <c r="K31" s="46" t="n">
        <f aca="false">ROUND((AVERAGE(F31:H31)*0.6+J31*0.4),1)</f>
        <v>3.8</v>
      </c>
      <c r="L31" s="65" t="n">
        <f aca="false">IFERROR(IF(K31&gt;=4.5,0.08,IF(K31&gt;=3.5,0.05,IF(K31&gt;=2.5,0.03,0))),0)</f>
        <v>0.05</v>
      </c>
      <c r="M31" s="46" t="str">
        <f aca="false">IFERROR(IF(K31&gt;=4.5,L31*VLOOKUP(C31,salary_ref,2,0)*0.15,IF(K31&gt;=3.5,L31*VLOOKUP(C31,salary_ref,2,0)*0.1,0)),"N/A")</f>
        <v>N/A</v>
      </c>
      <c r="N31" s="66" t="s">
        <v>353</v>
      </c>
    </row>
    <row r="32" customFormat="false" ht="15.75" hidden="false" customHeight="true" outlineLevel="0" collapsed="false">
      <c r="A32" s="40" t="s">
        <v>149</v>
      </c>
      <c r="B32" s="41" t="s">
        <v>384</v>
      </c>
      <c r="C32" s="41" t="s">
        <v>15</v>
      </c>
      <c r="D32" s="40" t="s">
        <v>360</v>
      </c>
      <c r="E32" s="41" t="s">
        <v>94</v>
      </c>
      <c r="F32" s="40" t="n">
        <v>4.6</v>
      </c>
      <c r="G32" s="40" t="n">
        <v>4</v>
      </c>
      <c r="H32" s="40" t="n">
        <v>2.1</v>
      </c>
      <c r="I32" s="40" t="n">
        <f aca="false">AVERAGE(F32:H32)</f>
        <v>3.56666666666667</v>
      </c>
      <c r="J32" s="40" t="n">
        <v>2.2</v>
      </c>
      <c r="K32" s="40" t="n">
        <f aca="false">ROUND((AVERAGE(F32:H32)*0.6+J32*0.4),1)</f>
        <v>3</v>
      </c>
      <c r="L32" s="64" t="n">
        <f aca="false">IFERROR(IF(K32&gt;=4.5,0.08,IF(K32&gt;=3.5,0.05,IF(K32&gt;=2.5,0.03,0))),0)</f>
        <v>0.03</v>
      </c>
      <c r="M32" s="40" t="n">
        <f aca="false">IFERROR(IF(K32&gt;=4.5,L32*VLOOKUP(C32,salary_ref,2,0)*0.15,IF(K32&gt;=3.5,L32*VLOOKUP(C32,salary_ref,2,0)*0.1,0)),"N/A")</f>
        <v>0</v>
      </c>
      <c r="N32" s="66" t="s">
        <v>353</v>
      </c>
    </row>
    <row r="33" customFormat="false" ht="15.75" hidden="false" customHeight="true" outlineLevel="0" collapsed="false">
      <c r="A33" s="46" t="s">
        <v>152</v>
      </c>
      <c r="B33" s="47" t="s">
        <v>385</v>
      </c>
      <c r="C33" s="47" t="s">
        <v>9</v>
      </c>
      <c r="D33" s="46" t="s">
        <v>352</v>
      </c>
      <c r="E33" s="47" t="s">
        <v>74</v>
      </c>
      <c r="F33" s="46" t="n">
        <v>2.4</v>
      </c>
      <c r="G33" s="46" t="n">
        <v>3.3</v>
      </c>
      <c r="H33" s="46" t="n">
        <v>4.7</v>
      </c>
      <c r="I33" s="46" t="n">
        <f aca="false">AVERAGE(F33:H33)</f>
        <v>3.46666666666667</v>
      </c>
      <c r="J33" s="46" t="n">
        <v>2.5</v>
      </c>
      <c r="K33" s="46" t="n">
        <f aca="false">ROUND((AVERAGE(F33:H33)*0.6+J33*0.4),1)</f>
        <v>3.1</v>
      </c>
      <c r="L33" s="65" t="n">
        <f aca="false">IFERROR(IF(K33&gt;=4.5,0.08,IF(K33&gt;=3.5,0.05,IF(K33&gt;=2.5,0.03,0))),0)</f>
        <v>0.03</v>
      </c>
      <c r="M33" s="46" t="n">
        <f aca="false">IFERROR(IF(K33&gt;=4.5,L33*VLOOKUP(C33,salary_ref,2,0)*0.15,IF(K33&gt;=3.5,L33*VLOOKUP(C33,salary_ref,2,0)*0.1,0)),"N/A")</f>
        <v>0</v>
      </c>
      <c r="N33" s="66" t="s">
        <v>353</v>
      </c>
    </row>
    <row r="34" customFormat="false" ht="15.75" hidden="false" customHeight="true" outlineLevel="0" collapsed="false">
      <c r="A34" s="40" t="s">
        <v>155</v>
      </c>
      <c r="B34" s="41" t="s">
        <v>386</v>
      </c>
      <c r="C34" s="41" t="s">
        <v>17</v>
      </c>
      <c r="D34" s="40" t="s">
        <v>355</v>
      </c>
      <c r="E34" s="41" t="s">
        <v>69</v>
      </c>
      <c r="F34" s="40" t="n">
        <v>2.8</v>
      </c>
      <c r="G34" s="40" t="n">
        <v>4.4</v>
      </c>
      <c r="H34" s="40" t="n">
        <v>2.5</v>
      </c>
      <c r="I34" s="40" t="n">
        <f aca="false">AVERAGE(F34:H34)</f>
        <v>3.23333333333333</v>
      </c>
      <c r="J34" s="40" t="n">
        <v>3.3</v>
      </c>
      <c r="K34" s="40" t="n">
        <f aca="false">ROUND((AVERAGE(F34:H34)*0.6+J34*0.4),1)</f>
        <v>3.3</v>
      </c>
      <c r="L34" s="64" t="n">
        <f aca="false">IFERROR(IF(K34&gt;=4.5,0.08,IF(K34&gt;=3.5,0.05,IF(K34&gt;=2.5,0.03,0))),0)</f>
        <v>0.03</v>
      </c>
      <c r="M34" s="40" t="n">
        <f aca="false">IFERROR(IF(K34&gt;=4.5,L34*VLOOKUP(C34,salary_ref,2,0)*0.15,IF(K34&gt;=3.5,L34*VLOOKUP(C34,salary_ref,2,0)*0.1,0)),"N/A")</f>
        <v>0</v>
      </c>
      <c r="N34" s="58" t="s">
        <v>358</v>
      </c>
    </row>
    <row r="35" customFormat="false" ht="15.75" hidden="false" customHeight="true" outlineLevel="0" collapsed="false">
      <c r="A35" s="46" t="s">
        <v>158</v>
      </c>
      <c r="B35" s="47" t="s">
        <v>387</v>
      </c>
      <c r="C35" s="47" t="s">
        <v>18</v>
      </c>
      <c r="D35" s="46" t="s">
        <v>355</v>
      </c>
      <c r="E35" s="47" t="s">
        <v>83</v>
      </c>
      <c r="F35" s="46" t="n">
        <v>4.2</v>
      </c>
      <c r="G35" s="46" t="n">
        <v>3.8</v>
      </c>
      <c r="H35" s="46" t="n">
        <v>4.8</v>
      </c>
      <c r="I35" s="46" t="n">
        <f aca="false">AVERAGE(F35:H35)</f>
        <v>4.26666666666667</v>
      </c>
      <c r="J35" s="46" t="n">
        <v>4.8</v>
      </c>
      <c r="K35" s="46" t="n">
        <f aca="false">ROUND((AVERAGE(F35:H35)*0.6+J35*0.4),1)</f>
        <v>4.5</v>
      </c>
      <c r="L35" s="65" t="n">
        <f aca="false">IFERROR(IF(K35&gt;=4.5,0.08,IF(K35&gt;=3.5,0.05,IF(K35&gt;=2.5,0.03,0))),0)</f>
        <v>0.08</v>
      </c>
      <c r="M35" s="46" t="str">
        <f aca="false">IFERROR(IF(K35&gt;=4.5,L35*VLOOKUP(C35,salary_ref,2,0)*0.15,IF(K35&gt;=3.5,L35*VLOOKUP(C35,salary_ref,2,0)*0.1,0)),"N/A")</f>
        <v>N/A</v>
      </c>
      <c r="N35" s="58" t="s">
        <v>358</v>
      </c>
    </row>
    <row r="36" customFormat="false" ht="15.75" hidden="false" customHeight="true" outlineLevel="0" collapsed="false">
      <c r="A36" s="40" t="s">
        <v>160</v>
      </c>
      <c r="B36" s="41" t="s">
        <v>388</v>
      </c>
      <c r="C36" s="41" t="s">
        <v>9</v>
      </c>
      <c r="D36" s="40" t="s">
        <v>357</v>
      </c>
      <c r="E36" s="41" t="s">
        <v>94</v>
      </c>
      <c r="F36" s="40" t="n">
        <v>4.2</v>
      </c>
      <c r="G36" s="40" t="n">
        <v>3.5</v>
      </c>
      <c r="H36" s="40" t="n">
        <v>2.8</v>
      </c>
      <c r="I36" s="40" t="n">
        <f aca="false">AVERAGE(F36:H36)</f>
        <v>3.5</v>
      </c>
      <c r="J36" s="40" t="n">
        <v>3.6</v>
      </c>
      <c r="K36" s="40" t="n">
        <f aca="false">ROUND((AVERAGE(F36:H36)*0.6+J36*0.4),1)</f>
        <v>3.5</v>
      </c>
      <c r="L36" s="64" t="n">
        <f aca="false">IFERROR(IF(K36&gt;=4.5,0.08,IF(K36&gt;=3.5,0.05,IF(K36&gt;=2.5,0.03,0))),0)</f>
        <v>0.05</v>
      </c>
      <c r="M36" s="40" t="str">
        <f aca="false">IFERROR(IF(K36&gt;=4.5,L36*VLOOKUP(C36,salary_ref,2,0)*0.15,IF(K36&gt;=3.5,L36*VLOOKUP(C36,salary_ref,2,0)*0.1,0)),"N/A")</f>
        <v>N/A</v>
      </c>
      <c r="N36" s="56" t="s">
        <v>350</v>
      </c>
    </row>
    <row r="37" customFormat="false" ht="15.75" hidden="false" customHeight="true" outlineLevel="0" collapsed="false">
      <c r="A37" s="46" t="s">
        <v>162</v>
      </c>
      <c r="B37" s="47" t="s">
        <v>389</v>
      </c>
      <c r="C37" s="47" t="s">
        <v>7</v>
      </c>
      <c r="D37" s="46" t="s">
        <v>349</v>
      </c>
      <c r="E37" s="47" t="s">
        <v>111</v>
      </c>
      <c r="F37" s="46" t="n">
        <v>4.4</v>
      </c>
      <c r="G37" s="46" t="n">
        <v>4.9</v>
      </c>
      <c r="H37" s="46" t="n">
        <v>4.2</v>
      </c>
      <c r="I37" s="46" t="n">
        <f aca="false">AVERAGE(F37:H37)</f>
        <v>4.5</v>
      </c>
      <c r="J37" s="46" t="n">
        <v>2.5</v>
      </c>
      <c r="K37" s="46" t="n">
        <f aca="false">ROUND((AVERAGE(F37:H37)*0.6+J37*0.4),1)</f>
        <v>3.7</v>
      </c>
      <c r="L37" s="65" t="n">
        <f aca="false">IFERROR(IF(K37&gt;=4.5,0.08,IF(K37&gt;=3.5,0.05,IF(K37&gt;=2.5,0.03,0))),0)</f>
        <v>0.05</v>
      </c>
      <c r="M37" s="46" t="str">
        <f aca="false">IFERROR(IF(K37&gt;=4.5,L37*VLOOKUP(C37,salary_ref,2,0)*0.15,IF(K37&gt;=3.5,L37*VLOOKUP(C37,salary_ref,2,0)*0.1,0)),"N/A")</f>
        <v>N/A</v>
      </c>
      <c r="N37" s="66" t="s">
        <v>353</v>
      </c>
    </row>
    <row r="38" customFormat="false" ht="15.75" hidden="false" customHeight="true" outlineLevel="0" collapsed="false">
      <c r="A38" s="40" t="s">
        <v>165</v>
      </c>
      <c r="B38" s="41" t="s">
        <v>390</v>
      </c>
      <c r="C38" s="41" t="s">
        <v>17</v>
      </c>
      <c r="D38" s="40" t="s">
        <v>352</v>
      </c>
      <c r="E38" s="41" t="s">
        <v>69</v>
      </c>
      <c r="F38" s="40" t="n">
        <v>4.2</v>
      </c>
      <c r="G38" s="40" t="n">
        <v>3.6</v>
      </c>
      <c r="H38" s="40" t="n">
        <v>3.6</v>
      </c>
      <c r="I38" s="40" t="n">
        <f aca="false">AVERAGE(F38:H38)</f>
        <v>3.8</v>
      </c>
      <c r="J38" s="40" t="n">
        <v>3.1</v>
      </c>
      <c r="K38" s="40" t="n">
        <f aca="false">ROUND((AVERAGE(F38:H38)*0.6+J38*0.4),1)</f>
        <v>3.5</v>
      </c>
      <c r="L38" s="64" t="n">
        <f aca="false">IFERROR(IF(K38&gt;=4.5,0.08,IF(K38&gt;=3.5,0.05,IF(K38&gt;=2.5,0.03,0))),0)</f>
        <v>0.05</v>
      </c>
      <c r="M38" s="40" t="str">
        <f aca="false">IFERROR(IF(K38&gt;=4.5,L38*VLOOKUP(C38,salary_ref,2,0)*0.15,IF(K38&gt;=3.5,L38*VLOOKUP(C38,salary_ref,2,0)*0.1,0)),"N/A")</f>
        <v>N/A</v>
      </c>
      <c r="N38" s="56" t="s">
        <v>350</v>
      </c>
    </row>
    <row r="39" customFormat="false" ht="15.75" hidden="false" customHeight="true" outlineLevel="0" collapsed="false">
      <c r="A39" s="46" t="s">
        <v>167</v>
      </c>
      <c r="B39" s="47" t="s">
        <v>391</v>
      </c>
      <c r="C39" s="47" t="s">
        <v>9</v>
      </c>
      <c r="D39" s="46" t="s">
        <v>360</v>
      </c>
      <c r="E39" s="47" t="s">
        <v>64</v>
      </c>
      <c r="F39" s="46" t="n">
        <v>3.3</v>
      </c>
      <c r="G39" s="46" t="n">
        <v>3.2</v>
      </c>
      <c r="H39" s="46" t="n">
        <v>3.2</v>
      </c>
      <c r="I39" s="46" t="n">
        <f aca="false">AVERAGE(F39:H39)</f>
        <v>3.23333333333333</v>
      </c>
      <c r="J39" s="46" t="n">
        <v>3.4</v>
      </c>
      <c r="K39" s="46" t="n">
        <f aca="false">ROUND((AVERAGE(F39:H39)*0.6+J39*0.4),1)</f>
        <v>3.3</v>
      </c>
      <c r="L39" s="65" t="n">
        <f aca="false">IFERROR(IF(K39&gt;=4.5,0.08,IF(K39&gt;=3.5,0.05,IF(K39&gt;=2.5,0.03,0))),0)</f>
        <v>0.03</v>
      </c>
      <c r="M39" s="46" t="n">
        <f aca="false">IFERROR(IF(K39&gt;=4.5,L39*VLOOKUP(C39,salary_ref,2,0)*0.15,IF(K39&gt;=3.5,L39*VLOOKUP(C39,salary_ref,2,0)*0.1,0)),"N/A")</f>
        <v>0</v>
      </c>
      <c r="N39" s="58" t="s">
        <v>358</v>
      </c>
    </row>
    <row r="40" customFormat="false" ht="15.75" hidden="false" customHeight="true" outlineLevel="0" collapsed="false">
      <c r="A40" s="40" t="s">
        <v>169</v>
      </c>
      <c r="B40" s="41" t="s">
        <v>392</v>
      </c>
      <c r="C40" s="41" t="s">
        <v>19</v>
      </c>
      <c r="D40" s="40" t="s">
        <v>352</v>
      </c>
      <c r="E40" s="41" t="s">
        <v>94</v>
      </c>
      <c r="F40" s="40" t="n">
        <v>4.4</v>
      </c>
      <c r="G40" s="40" t="n">
        <v>3.5</v>
      </c>
      <c r="H40" s="40" t="n">
        <v>2.9</v>
      </c>
      <c r="I40" s="40" t="n">
        <f aca="false">AVERAGE(F40:H40)</f>
        <v>3.6</v>
      </c>
      <c r="J40" s="40" t="n">
        <v>2.8</v>
      </c>
      <c r="K40" s="40" t="n">
        <f aca="false">ROUND((AVERAGE(F40:H40)*0.6+J40*0.4),1)</f>
        <v>3.3</v>
      </c>
      <c r="L40" s="64" t="n">
        <f aca="false">IFERROR(IF(K40&gt;=4.5,0.08,IF(K40&gt;=3.5,0.05,IF(K40&gt;=2.5,0.03,0))),0)</f>
        <v>0.03</v>
      </c>
      <c r="M40" s="40" t="n">
        <f aca="false">IFERROR(IF(K40&gt;=4.5,L40*VLOOKUP(C40,salary_ref,2,0)*0.15,IF(K40&gt;=3.5,L40*VLOOKUP(C40,salary_ref,2,0)*0.1,0)),"N/A")</f>
        <v>0</v>
      </c>
      <c r="N40" s="66" t="s">
        <v>353</v>
      </c>
    </row>
    <row r="41" customFormat="false" ht="15.75" hidden="false" customHeight="true" outlineLevel="0" collapsed="false">
      <c r="A41" s="46" t="s">
        <v>171</v>
      </c>
      <c r="B41" s="47" t="s">
        <v>161</v>
      </c>
      <c r="C41" s="47" t="s">
        <v>13</v>
      </c>
      <c r="D41" s="46" t="s">
        <v>355</v>
      </c>
      <c r="E41" s="47" t="s">
        <v>83</v>
      </c>
      <c r="F41" s="46" t="n">
        <v>2.1</v>
      </c>
      <c r="G41" s="46" t="n">
        <v>4.9</v>
      </c>
      <c r="H41" s="46" t="n">
        <v>2.7</v>
      </c>
      <c r="I41" s="46" t="n">
        <f aca="false">AVERAGE(F41:H41)</f>
        <v>3.23333333333333</v>
      </c>
      <c r="J41" s="46" t="n">
        <v>4.9</v>
      </c>
      <c r="K41" s="46" t="n">
        <f aca="false">ROUND((AVERAGE(F41:H41)*0.6+J41*0.4),1)</f>
        <v>3.9</v>
      </c>
      <c r="L41" s="65" t="n">
        <f aca="false">IFERROR(IF(K41&gt;=4.5,0.08,IF(K41&gt;=3.5,0.05,IF(K41&gt;=2.5,0.03,0))),0)</f>
        <v>0.05</v>
      </c>
      <c r="M41" s="46" t="str">
        <f aca="false">IFERROR(IF(K41&gt;=4.5,L41*VLOOKUP(C41,salary_ref,2,0)*0.15,IF(K41&gt;=3.5,L41*VLOOKUP(C41,salary_ref,2,0)*0.1,0)),"N/A")</f>
        <v>N/A</v>
      </c>
      <c r="N41" s="58" t="s">
        <v>358</v>
      </c>
    </row>
    <row r="42" customFormat="false" ht="15.75" hidden="false" customHeight="true" outlineLevel="0" collapsed="false">
      <c r="A42" s="40" t="s">
        <v>174</v>
      </c>
      <c r="B42" s="41" t="s">
        <v>393</v>
      </c>
      <c r="C42" s="41" t="s">
        <v>13</v>
      </c>
      <c r="D42" s="40" t="s">
        <v>357</v>
      </c>
      <c r="E42" s="41" t="s">
        <v>74</v>
      </c>
      <c r="F42" s="40" t="n">
        <v>4</v>
      </c>
      <c r="G42" s="40" t="n">
        <v>3.3</v>
      </c>
      <c r="H42" s="40" t="n">
        <v>3.8</v>
      </c>
      <c r="I42" s="40" t="n">
        <f aca="false">AVERAGE(F42:H42)</f>
        <v>3.7</v>
      </c>
      <c r="J42" s="40" t="n">
        <v>4.1</v>
      </c>
      <c r="K42" s="40" t="n">
        <f aca="false">ROUND((AVERAGE(F42:H42)*0.6+J42*0.4),1)</f>
        <v>3.9</v>
      </c>
      <c r="L42" s="64" t="n">
        <f aca="false">IFERROR(IF(K42&gt;=4.5,0.08,IF(K42&gt;=3.5,0.05,IF(K42&gt;=2.5,0.03,0))),0)</f>
        <v>0.05</v>
      </c>
      <c r="M42" s="40" t="str">
        <f aca="false">IFERROR(IF(K42&gt;=4.5,L42*VLOOKUP(C42,salary_ref,2,0)*0.15,IF(K42&gt;=3.5,L42*VLOOKUP(C42,salary_ref,2,0)*0.1,0)),"N/A")</f>
        <v>N/A</v>
      </c>
      <c r="N42" s="66" t="s">
        <v>353</v>
      </c>
    </row>
    <row r="43" customFormat="false" ht="15.75" hidden="false" customHeight="true" outlineLevel="0" collapsed="false">
      <c r="A43" s="46" t="s">
        <v>176</v>
      </c>
      <c r="B43" s="47" t="s">
        <v>394</v>
      </c>
      <c r="C43" s="47" t="s">
        <v>13</v>
      </c>
      <c r="D43" s="46" t="s">
        <v>352</v>
      </c>
      <c r="E43" s="47" t="s">
        <v>69</v>
      </c>
      <c r="F43" s="46" t="n">
        <v>3.9</v>
      </c>
      <c r="G43" s="46" t="n">
        <v>3.5</v>
      </c>
      <c r="H43" s="46" t="n">
        <v>3.7</v>
      </c>
      <c r="I43" s="46" t="n">
        <f aca="false">AVERAGE(F43:H43)</f>
        <v>3.7</v>
      </c>
      <c r="J43" s="46" t="n">
        <v>2.5</v>
      </c>
      <c r="K43" s="46" t="n">
        <f aca="false">ROUND((AVERAGE(F43:H43)*0.6+J43*0.4),1)</f>
        <v>3.2</v>
      </c>
      <c r="L43" s="65" t="n">
        <f aca="false">IFERROR(IF(K43&gt;=4.5,0.08,IF(K43&gt;=3.5,0.05,IF(K43&gt;=2.5,0.03,0))),0)</f>
        <v>0.03</v>
      </c>
      <c r="M43" s="46" t="n">
        <f aca="false">IFERROR(IF(K43&gt;=4.5,L43*VLOOKUP(C43,salary_ref,2,0)*0.15,IF(K43&gt;=3.5,L43*VLOOKUP(C43,salary_ref,2,0)*0.1,0)),"N/A")</f>
        <v>0</v>
      </c>
      <c r="N43" s="61" t="s">
        <v>366</v>
      </c>
    </row>
  </sheetData>
  <mergeCells count="1">
    <mergeCell ref="A1:M1"/>
  </mergeCells>
  <conditionalFormatting sqref="K4:K43">
    <cfRule type="colorScale" priority="2">
      <colorScale>
        <cfvo type="num" val="1"/>
        <cfvo type="num" val="3"/>
        <cfvo type="num" val="5"/>
        <color rgb="FFFF0000"/>
        <color rgb="FFFFFF00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3"/>
  </cols>
  <sheetData>
    <row r="1" customFormat="false" ht="36" hidden="false" customHeight="true" outlineLevel="0" collapsed="false">
      <c r="A1" s="67" t="s">
        <v>395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customFormat="false" ht="7.5" hidden="false" customHeight="true" outlineLevel="0" collapsed="false"/>
    <row r="3" customFormat="false" ht="30" hidden="false" customHeight="true" outlineLevel="0" collapsed="false">
      <c r="A3" s="68" t="s">
        <v>39</v>
      </c>
      <c r="B3" s="68" t="s">
        <v>40</v>
      </c>
      <c r="C3" s="68" t="s">
        <v>22</v>
      </c>
      <c r="D3" s="68" t="s">
        <v>396</v>
      </c>
      <c r="E3" s="68" t="s">
        <v>397</v>
      </c>
      <c r="F3" s="68" t="s">
        <v>398</v>
      </c>
      <c r="G3" s="68" t="s">
        <v>399</v>
      </c>
      <c r="H3" s="68" t="s">
        <v>400</v>
      </c>
      <c r="I3" s="68" t="s">
        <v>401</v>
      </c>
      <c r="J3" s="68" t="s">
        <v>402</v>
      </c>
      <c r="K3" s="68" t="s">
        <v>403</v>
      </c>
      <c r="L3" s="68" t="s">
        <v>404</v>
      </c>
    </row>
    <row r="4" customFormat="false" ht="15.75" hidden="false" customHeight="true" outlineLevel="0" collapsed="false">
      <c r="A4" s="40" t="s">
        <v>52</v>
      </c>
      <c r="B4" s="41" t="s">
        <v>405</v>
      </c>
      <c r="C4" s="41" t="s">
        <v>11</v>
      </c>
      <c r="D4" s="42" t="n">
        <v>94673</v>
      </c>
      <c r="E4" s="42" t="n">
        <f aca="false">D4*0.22</f>
        <v>20828.06</v>
      </c>
      <c r="F4" s="42" t="n">
        <f aca="false">D4*0.05</f>
        <v>4733.65</v>
      </c>
      <c r="G4" s="42" t="n">
        <f aca="false">MIN(D4*0.062,9114)</f>
        <v>5869.726</v>
      </c>
      <c r="H4" s="42" t="n">
        <f aca="false">D4*0.0145</f>
        <v>1372.7585</v>
      </c>
      <c r="I4" s="42" t="n">
        <v>3600</v>
      </c>
      <c r="J4" s="42" t="n">
        <f aca="false">D4-E4-F4-G4-H4-I4</f>
        <v>58268.8055</v>
      </c>
      <c r="K4" s="40" t="s">
        <v>406</v>
      </c>
      <c r="L4" s="45" t="n">
        <v>46006</v>
      </c>
    </row>
    <row r="5" customFormat="false" ht="15.75" hidden="false" customHeight="true" outlineLevel="0" collapsed="false">
      <c r="A5" s="46" t="s">
        <v>59</v>
      </c>
      <c r="B5" s="47" t="s">
        <v>407</v>
      </c>
      <c r="C5" s="47" t="s">
        <v>17</v>
      </c>
      <c r="D5" s="48" t="n">
        <v>141851</v>
      </c>
      <c r="E5" s="48" t="n">
        <f aca="false">D5*0.22</f>
        <v>31207.22</v>
      </c>
      <c r="F5" s="48" t="n">
        <f aca="false">D5*0.05</f>
        <v>7092.55</v>
      </c>
      <c r="G5" s="48" t="n">
        <f aca="false">MIN(D5*0.062,9114)</f>
        <v>8794.762</v>
      </c>
      <c r="H5" s="48" t="n">
        <f aca="false">D5*0.0145</f>
        <v>2056.8395</v>
      </c>
      <c r="I5" s="48" t="n">
        <v>3600</v>
      </c>
      <c r="J5" s="48" t="n">
        <f aca="false">D5-E5-F5-G5-H5-I5</f>
        <v>89099.6285</v>
      </c>
      <c r="K5" s="46" t="s">
        <v>408</v>
      </c>
      <c r="L5" s="50" t="n">
        <v>46021</v>
      </c>
    </row>
    <row r="6" customFormat="false" ht="15.75" hidden="false" customHeight="true" outlineLevel="0" collapsed="false">
      <c r="A6" s="40" t="s">
        <v>65</v>
      </c>
      <c r="B6" s="41" t="s">
        <v>409</v>
      </c>
      <c r="C6" s="41" t="s">
        <v>18</v>
      </c>
      <c r="D6" s="42" t="n">
        <v>96711</v>
      </c>
      <c r="E6" s="42" t="n">
        <f aca="false">D6*0.22</f>
        <v>21276.42</v>
      </c>
      <c r="F6" s="42" t="n">
        <f aca="false">D6*0.05</f>
        <v>4835.55</v>
      </c>
      <c r="G6" s="42" t="n">
        <f aca="false">MIN(D6*0.062,9114)</f>
        <v>5996.082</v>
      </c>
      <c r="H6" s="42" t="n">
        <f aca="false">D6*0.0145</f>
        <v>1402.3095</v>
      </c>
      <c r="I6" s="42" t="n">
        <v>3600</v>
      </c>
      <c r="J6" s="42" t="n">
        <f aca="false">D6-E6-F6-G6-H6-I6</f>
        <v>59600.6385</v>
      </c>
      <c r="K6" s="40" t="s">
        <v>410</v>
      </c>
      <c r="L6" s="45" t="n">
        <v>46021</v>
      </c>
    </row>
    <row r="7" customFormat="false" ht="15.75" hidden="false" customHeight="true" outlineLevel="0" collapsed="false">
      <c r="A7" s="46" t="s">
        <v>70</v>
      </c>
      <c r="B7" s="47" t="s">
        <v>411</v>
      </c>
      <c r="C7" s="47" t="s">
        <v>7</v>
      </c>
      <c r="D7" s="48" t="n">
        <v>137905</v>
      </c>
      <c r="E7" s="48" t="n">
        <f aca="false">D7*0.22</f>
        <v>30339.1</v>
      </c>
      <c r="F7" s="48" t="n">
        <f aca="false">D7*0.05</f>
        <v>6895.25</v>
      </c>
      <c r="G7" s="48" t="n">
        <f aca="false">MIN(D7*0.062,9114)</f>
        <v>8550.11</v>
      </c>
      <c r="H7" s="48" t="n">
        <f aca="false">D7*0.0145</f>
        <v>1999.6225</v>
      </c>
      <c r="I7" s="48" t="n">
        <v>3600</v>
      </c>
      <c r="J7" s="48" t="n">
        <f aca="false">D7-E7-F7-G7-H7-I7</f>
        <v>86520.9175</v>
      </c>
      <c r="K7" s="46" t="s">
        <v>408</v>
      </c>
      <c r="L7" s="50" t="n">
        <v>46006</v>
      </c>
    </row>
    <row r="8" customFormat="false" ht="15.75" hidden="false" customHeight="true" outlineLevel="0" collapsed="false">
      <c r="A8" s="40" t="s">
        <v>75</v>
      </c>
      <c r="B8" s="41" t="s">
        <v>412</v>
      </c>
      <c r="C8" s="41" t="s">
        <v>7</v>
      </c>
      <c r="D8" s="42" t="n">
        <v>129756</v>
      </c>
      <c r="E8" s="42" t="n">
        <f aca="false">D8*0.22</f>
        <v>28546.32</v>
      </c>
      <c r="F8" s="42" t="n">
        <f aca="false">D8*0.05</f>
        <v>6487.8</v>
      </c>
      <c r="G8" s="42" t="n">
        <f aca="false">MIN(D8*0.062,9114)</f>
        <v>8044.872</v>
      </c>
      <c r="H8" s="42" t="n">
        <f aca="false">D8*0.0145</f>
        <v>1881.462</v>
      </c>
      <c r="I8" s="42" t="n">
        <v>3600</v>
      </c>
      <c r="J8" s="42" t="n">
        <f aca="false">D8-E8-F8-G8-H8-I8</f>
        <v>81195.546</v>
      </c>
      <c r="K8" s="40" t="s">
        <v>408</v>
      </c>
      <c r="L8" s="45" t="n">
        <v>46006</v>
      </c>
    </row>
    <row r="9" customFormat="false" ht="15.75" hidden="false" customHeight="true" outlineLevel="0" collapsed="false">
      <c r="A9" s="46" t="s">
        <v>79</v>
      </c>
      <c r="B9" s="47" t="s">
        <v>413</v>
      </c>
      <c r="C9" s="47" t="s">
        <v>13</v>
      </c>
      <c r="D9" s="48" t="n">
        <v>66610</v>
      </c>
      <c r="E9" s="48" t="n">
        <f aca="false">D9*0.22</f>
        <v>14654.2</v>
      </c>
      <c r="F9" s="48" t="n">
        <f aca="false">D9*0.05</f>
        <v>3330.5</v>
      </c>
      <c r="G9" s="48" t="n">
        <f aca="false">MIN(D9*0.062,9114)</f>
        <v>4129.82</v>
      </c>
      <c r="H9" s="48" t="n">
        <f aca="false">D9*0.0145</f>
        <v>965.845</v>
      </c>
      <c r="I9" s="48" t="n">
        <v>3600</v>
      </c>
      <c r="J9" s="48" t="n">
        <f aca="false">D9-E9-F9-G9-H9-I9</f>
        <v>39929.635</v>
      </c>
      <c r="K9" s="46" t="s">
        <v>410</v>
      </c>
      <c r="L9" s="50" t="n">
        <v>46021</v>
      </c>
    </row>
    <row r="10" customFormat="false" ht="15.75" hidden="false" customHeight="true" outlineLevel="0" collapsed="false">
      <c r="A10" s="40" t="s">
        <v>84</v>
      </c>
      <c r="B10" s="41" t="s">
        <v>414</v>
      </c>
      <c r="C10" s="41" t="s">
        <v>13</v>
      </c>
      <c r="D10" s="42" t="n">
        <v>108791</v>
      </c>
      <c r="E10" s="42" t="n">
        <f aca="false">D10*0.22</f>
        <v>23934.02</v>
      </c>
      <c r="F10" s="42" t="n">
        <f aca="false">D10*0.05</f>
        <v>5439.55</v>
      </c>
      <c r="G10" s="42" t="n">
        <f aca="false">MIN(D10*0.062,9114)</f>
        <v>6745.042</v>
      </c>
      <c r="H10" s="42" t="n">
        <f aca="false">D10*0.0145</f>
        <v>1577.4695</v>
      </c>
      <c r="I10" s="42" t="n">
        <v>3600</v>
      </c>
      <c r="J10" s="42" t="n">
        <f aca="false">D10-E10-F10-G10-H10-I10</f>
        <v>67494.9185</v>
      </c>
      <c r="K10" s="40" t="s">
        <v>406</v>
      </c>
      <c r="L10" s="45" t="n">
        <v>46021</v>
      </c>
    </row>
    <row r="11" customFormat="false" ht="15.75" hidden="false" customHeight="true" outlineLevel="0" collapsed="false">
      <c r="A11" s="46" t="s">
        <v>87</v>
      </c>
      <c r="B11" s="47" t="s">
        <v>415</v>
      </c>
      <c r="C11" s="47" t="s">
        <v>9</v>
      </c>
      <c r="D11" s="48" t="n">
        <v>108760</v>
      </c>
      <c r="E11" s="48" t="n">
        <f aca="false">D11*0.22</f>
        <v>23927.2</v>
      </c>
      <c r="F11" s="48" t="n">
        <f aca="false">D11*0.05</f>
        <v>5438</v>
      </c>
      <c r="G11" s="48" t="n">
        <f aca="false">MIN(D11*0.062,9114)</f>
        <v>6743.12</v>
      </c>
      <c r="H11" s="48" t="n">
        <f aca="false">D11*0.0145</f>
        <v>1577.02</v>
      </c>
      <c r="I11" s="48" t="n">
        <v>3600</v>
      </c>
      <c r="J11" s="48" t="n">
        <f aca="false">D11-E11-F11-G11-H11-I11</f>
        <v>67474.66</v>
      </c>
      <c r="K11" s="46" t="s">
        <v>408</v>
      </c>
      <c r="L11" s="50" t="n">
        <v>46021</v>
      </c>
    </row>
    <row r="12" customFormat="false" ht="15.75" hidden="false" customHeight="true" outlineLevel="0" collapsed="false">
      <c r="A12" s="40" t="s">
        <v>91</v>
      </c>
      <c r="B12" s="41" t="s">
        <v>416</v>
      </c>
      <c r="C12" s="41" t="s">
        <v>13</v>
      </c>
      <c r="D12" s="42" t="n">
        <v>86519</v>
      </c>
      <c r="E12" s="42" t="n">
        <f aca="false">D12*0.22</f>
        <v>19034.18</v>
      </c>
      <c r="F12" s="42" t="n">
        <f aca="false">D12*0.05</f>
        <v>4325.95</v>
      </c>
      <c r="G12" s="42" t="n">
        <f aca="false">MIN(D12*0.062,9114)</f>
        <v>5364.178</v>
      </c>
      <c r="H12" s="42" t="n">
        <f aca="false">D12*0.0145</f>
        <v>1254.5255</v>
      </c>
      <c r="I12" s="42" t="n">
        <v>3600</v>
      </c>
      <c r="J12" s="42" t="n">
        <f aca="false">D12-E12-F12-G12-H12-I12</f>
        <v>52940.1665</v>
      </c>
      <c r="K12" s="40" t="s">
        <v>408</v>
      </c>
      <c r="L12" s="45" t="n">
        <v>46006</v>
      </c>
    </row>
    <row r="13" customFormat="false" ht="15.75" hidden="false" customHeight="true" outlineLevel="0" collapsed="false">
      <c r="A13" s="46" t="s">
        <v>95</v>
      </c>
      <c r="B13" s="47" t="s">
        <v>417</v>
      </c>
      <c r="C13" s="47" t="s">
        <v>15</v>
      </c>
      <c r="D13" s="48" t="n">
        <v>127617</v>
      </c>
      <c r="E13" s="48" t="n">
        <f aca="false">D13*0.22</f>
        <v>28075.74</v>
      </c>
      <c r="F13" s="48" t="n">
        <f aca="false">D13*0.05</f>
        <v>6380.85</v>
      </c>
      <c r="G13" s="48" t="n">
        <f aca="false">MIN(D13*0.062,9114)</f>
        <v>7912.254</v>
      </c>
      <c r="H13" s="48" t="n">
        <f aca="false">D13*0.0145</f>
        <v>1850.4465</v>
      </c>
      <c r="I13" s="48" t="n">
        <v>3600</v>
      </c>
      <c r="J13" s="48" t="n">
        <f aca="false">D13-E13-F13-G13-H13-I13</f>
        <v>79797.7095</v>
      </c>
      <c r="K13" s="46" t="s">
        <v>406</v>
      </c>
      <c r="L13" s="50" t="n">
        <v>46021</v>
      </c>
    </row>
    <row r="14" customFormat="false" ht="15.75" hidden="false" customHeight="true" outlineLevel="0" collapsed="false">
      <c r="A14" s="40" t="s">
        <v>98</v>
      </c>
      <c r="B14" s="41" t="s">
        <v>418</v>
      </c>
      <c r="C14" s="41" t="s">
        <v>11</v>
      </c>
      <c r="D14" s="42" t="n">
        <v>109409</v>
      </c>
      <c r="E14" s="42" t="n">
        <f aca="false">D14*0.22</f>
        <v>24069.98</v>
      </c>
      <c r="F14" s="42" t="n">
        <f aca="false">D14*0.05</f>
        <v>5470.45</v>
      </c>
      <c r="G14" s="42" t="n">
        <f aca="false">MIN(D14*0.062,9114)</f>
        <v>6783.358</v>
      </c>
      <c r="H14" s="42" t="n">
        <f aca="false">D14*0.0145</f>
        <v>1586.4305</v>
      </c>
      <c r="I14" s="42" t="n">
        <v>3600</v>
      </c>
      <c r="J14" s="42" t="n">
        <f aca="false">D14-E14-F14-G14-H14-I14</f>
        <v>67898.7815</v>
      </c>
      <c r="K14" s="40" t="s">
        <v>408</v>
      </c>
      <c r="L14" s="45" t="n">
        <v>46006</v>
      </c>
    </row>
    <row r="15" customFormat="false" ht="15.75" hidden="false" customHeight="true" outlineLevel="0" collapsed="false">
      <c r="A15" s="46" t="s">
        <v>101</v>
      </c>
      <c r="B15" s="47" t="s">
        <v>419</v>
      </c>
      <c r="C15" s="47" t="s">
        <v>9</v>
      </c>
      <c r="D15" s="48" t="n">
        <v>88332</v>
      </c>
      <c r="E15" s="48" t="n">
        <f aca="false">D15*0.22</f>
        <v>19433.04</v>
      </c>
      <c r="F15" s="48" t="n">
        <f aca="false">D15*0.05</f>
        <v>4416.6</v>
      </c>
      <c r="G15" s="48" t="n">
        <f aca="false">MIN(D15*0.062,9114)</f>
        <v>5476.584</v>
      </c>
      <c r="H15" s="48" t="n">
        <f aca="false">D15*0.0145</f>
        <v>1280.814</v>
      </c>
      <c r="I15" s="48" t="n">
        <v>3600</v>
      </c>
      <c r="J15" s="48" t="n">
        <f aca="false">D15-E15-F15-G15-H15-I15</f>
        <v>54124.962</v>
      </c>
      <c r="K15" s="46" t="s">
        <v>406</v>
      </c>
      <c r="L15" s="50" t="n">
        <v>46021</v>
      </c>
    </row>
    <row r="16" customFormat="false" ht="15.75" hidden="false" customHeight="true" outlineLevel="0" collapsed="false">
      <c r="A16" s="40" t="s">
        <v>104</v>
      </c>
      <c r="B16" s="41" t="s">
        <v>420</v>
      </c>
      <c r="C16" s="41" t="s">
        <v>15</v>
      </c>
      <c r="D16" s="42" t="n">
        <v>71449</v>
      </c>
      <c r="E16" s="42" t="n">
        <f aca="false">D16*0.22</f>
        <v>15718.78</v>
      </c>
      <c r="F16" s="42" t="n">
        <f aca="false">D16*0.05</f>
        <v>3572.45</v>
      </c>
      <c r="G16" s="42" t="n">
        <f aca="false">MIN(D16*0.062,9114)</f>
        <v>4429.838</v>
      </c>
      <c r="H16" s="42" t="n">
        <f aca="false">D16*0.0145</f>
        <v>1036.0105</v>
      </c>
      <c r="I16" s="42" t="n">
        <v>3600</v>
      </c>
      <c r="J16" s="42" t="n">
        <f aca="false">D16-E16-F16-G16-H16-I16</f>
        <v>43091.9215</v>
      </c>
      <c r="K16" s="40" t="s">
        <v>406</v>
      </c>
      <c r="L16" s="45" t="n">
        <v>46021</v>
      </c>
    </row>
    <row r="17" customFormat="false" ht="15.75" hidden="false" customHeight="true" outlineLevel="0" collapsed="false">
      <c r="A17" s="46" t="s">
        <v>108</v>
      </c>
      <c r="B17" s="47" t="s">
        <v>421</v>
      </c>
      <c r="C17" s="47" t="s">
        <v>19</v>
      </c>
      <c r="D17" s="48" t="n">
        <v>63988</v>
      </c>
      <c r="E17" s="48" t="n">
        <f aca="false">D17*0.22</f>
        <v>14077.36</v>
      </c>
      <c r="F17" s="48" t="n">
        <f aca="false">D17*0.05</f>
        <v>3199.4</v>
      </c>
      <c r="G17" s="48" t="n">
        <f aca="false">MIN(D17*0.062,9114)</f>
        <v>3967.256</v>
      </c>
      <c r="H17" s="48" t="n">
        <f aca="false">D17*0.0145</f>
        <v>927.826</v>
      </c>
      <c r="I17" s="48" t="n">
        <v>3600</v>
      </c>
      <c r="J17" s="48" t="n">
        <f aca="false">D17-E17-F17-G17-H17-I17</f>
        <v>38216.158</v>
      </c>
      <c r="K17" s="46" t="s">
        <v>408</v>
      </c>
      <c r="L17" s="50" t="n">
        <v>46021</v>
      </c>
    </row>
    <row r="18" customFormat="false" ht="15.75" hidden="false" customHeight="true" outlineLevel="0" collapsed="false">
      <c r="A18" s="40" t="s">
        <v>112</v>
      </c>
      <c r="B18" s="41" t="s">
        <v>422</v>
      </c>
      <c r="C18" s="41" t="s">
        <v>9</v>
      </c>
      <c r="D18" s="42" t="n">
        <v>91857</v>
      </c>
      <c r="E18" s="42" t="n">
        <f aca="false">D18*0.22</f>
        <v>20208.54</v>
      </c>
      <c r="F18" s="42" t="n">
        <f aca="false">D18*0.05</f>
        <v>4592.85</v>
      </c>
      <c r="G18" s="42" t="n">
        <f aca="false">MIN(D18*0.062,9114)</f>
        <v>5695.134</v>
      </c>
      <c r="H18" s="42" t="n">
        <f aca="false">D18*0.0145</f>
        <v>1331.9265</v>
      </c>
      <c r="I18" s="42" t="n">
        <v>3600</v>
      </c>
      <c r="J18" s="42" t="n">
        <f aca="false">D18-E18-F18-G18-H18-I18</f>
        <v>56428.5495</v>
      </c>
      <c r="K18" s="40" t="s">
        <v>406</v>
      </c>
      <c r="L18" s="45" t="n">
        <v>46021</v>
      </c>
    </row>
    <row r="19" customFormat="false" ht="15.75" hidden="false" customHeight="true" outlineLevel="0" collapsed="false">
      <c r="A19" s="46" t="s">
        <v>115</v>
      </c>
      <c r="B19" s="47" t="s">
        <v>423</v>
      </c>
      <c r="C19" s="47" t="s">
        <v>19</v>
      </c>
      <c r="D19" s="48" t="n">
        <v>132356</v>
      </c>
      <c r="E19" s="48" t="n">
        <f aca="false">D19*0.22</f>
        <v>29118.32</v>
      </c>
      <c r="F19" s="48" t="n">
        <f aca="false">D19*0.05</f>
        <v>6617.8</v>
      </c>
      <c r="G19" s="48" t="n">
        <f aca="false">MIN(D19*0.062,9114)</f>
        <v>8206.072</v>
      </c>
      <c r="H19" s="48" t="n">
        <f aca="false">D19*0.0145</f>
        <v>1919.162</v>
      </c>
      <c r="I19" s="48" t="n">
        <v>3600</v>
      </c>
      <c r="J19" s="48" t="n">
        <f aca="false">D19-E19-F19-G19-H19-I19</f>
        <v>82894.646</v>
      </c>
      <c r="K19" s="46" t="s">
        <v>406</v>
      </c>
      <c r="L19" s="50" t="n">
        <v>46021</v>
      </c>
    </row>
    <row r="20" customFormat="false" ht="15.75" hidden="false" customHeight="true" outlineLevel="0" collapsed="false">
      <c r="A20" s="40" t="s">
        <v>118</v>
      </c>
      <c r="B20" s="41" t="s">
        <v>424</v>
      </c>
      <c r="C20" s="41" t="s">
        <v>17</v>
      </c>
      <c r="D20" s="42" t="n">
        <v>109866</v>
      </c>
      <c r="E20" s="42" t="n">
        <f aca="false">D20*0.22</f>
        <v>24170.52</v>
      </c>
      <c r="F20" s="42" t="n">
        <f aca="false">D20*0.05</f>
        <v>5493.3</v>
      </c>
      <c r="G20" s="42" t="n">
        <f aca="false">MIN(D20*0.062,9114)</f>
        <v>6811.692</v>
      </c>
      <c r="H20" s="42" t="n">
        <f aca="false">D20*0.0145</f>
        <v>1593.057</v>
      </c>
      <c r="I20" s="42" t="n">
        <v>3600</v>
      </c>
      <c r="J20" s="42" t="n">
        <f aca="false">D20-E20-F20-G20-H20-I20</f>
        <v>68197.431</v>
      </c>
      <c r="K20" s="40" t="s">
        <v>408</v>
      </c>
      <c r="L20" s="45" t="n">
        <v>46021</v>
      </c>
    </row>
    <row r="21" customFormat="false" ht="15.75" hidden="false" customHeight="true" outlineLevel="0" collapsed="false">
      <c r="A21" s="46" t="s">
        <v>120</v>
      </c>
      <c r="B21" s="47" t="s">
        <v>425</v>
      </c>
      <c r="C21" s="47" t="s">
        <v>7</v>
      </c>
      <c r="D21" s="48" t="n">
        <v>59659</v>
      </c>
      <c r="E21" s="48" t="n">
        <f aca="false">D21*0.22</f>
        <v>13124.98</v>
      </c>
      <c r="F21" s="48" t="n">
        <f aca="false">D21*0.05</f>
        <v>2982.95</v>
      </c>
      <c r="G21" s="48" t="n">
        <f aca="false">MIN(D21*0.062,9114)</f>
        <v>3698.858</v>
      </c>
      <c r="H21" s="48" t="n">
        <f aca="false">D21*0.0145</f>
        <v>865.0555</v>
      </c>
      <c r="I21" s="48" t="n">
        <v>3600</v>
      </c>
      <c r="J21" s="48" t="n">
        <f aca="false">D21-E21-F21-G21-H21-I21</f>
        <v>35387.1565</v>
      </c>
      <c r="K21" s="46" t="s">
        <v>408</v>
      </c>
      <c r="L21" s="50" t="n">
        <v>46006</v>
      </c>
    </row>
    <row r="22" customFormat="false" ht="15.75" hidden="false" customHeight="true" outlineLevel="0" collapsed="false">
      <c r="A22" s="40" t="s">
        <v>124</v>
      </c>
      <c r="B22" s="41" t="s">
        <v>426</v>
      </c>
      <c r="C22" s="41" t="s">
        <v>19</v>
      </c>
      <c r="D22" s="42" t="n">
        <v>124575</v>
      </c>
      <c r="E22" s="42" t="n">
        <f aca="false">D22*0.22</f>
        <v>27406.5</v>
      </c>
      <c r="F22" s="42" t="n">
        <f aca="false">D22*0.05</f>
        <v>6228.75</v>
      </c>
      <c r="G22" s="42" t="n">
        <f aca="false">MIN(D22*0.062,9114)</f>
        <v>7723.65</v>
      </c>
      <c r="H22" s="42" t="n">
        <f aca="false">D22*0.0145</f>
        <v>1806.3375</v>
      </c>
      <c r="I22" s="42" t="n">
        <v>3600</v>
      </c>
      <c r="J22" s="42" t="n">
        <f aca="false">D22-E22-F22-G22-H22-I22</f>
        <v>77809.7625</v>
      </c>
      <c r="K22" s="40" t="s">
        <v>408</v>
      </c>
      <c r="L22" s="45" t="n">
        <v>46021</v>
      </c>
    </row>
    <row r="23" customFormat="false" ht="15.75" hidden="false" customHeight="true" outlineLevel="0" collapsed="false">
      <c r="A23" s="46" t="s">
        <v>128</v>
      </c>
      <c r="B23" s="47" t="s">
        <v>427</v>
      </c>
      <c r="C23" s="47" t="s">
        <v>19</v>
      </c>
      <c r="D23" s="48" t="n">
        <v>82342</v>
      </c>
      <c r="E23" s="48" t="n">
        <f aca="false">D23*0.22</f>
        <v>18115.24</v>
      </c>
      <c r="F23" s="48" t="n">
        <f aca="false">D23*0.05</f>
        <v>4117.1</v>
      </c>
      <c r="G23" s="48" t="n">
        <f aca="false">MIN(D23*0.062,9114)</f>
        <v>5105.204</v>
      </c>
      <c r="H23" s="48" t="n">
        <f aca="false">D23*0.0145</f>
        <v>1193.959</v>
      </c>
      <c r="I23" s="48" t="n">
        <v>3600</v>
      </c>
      <c r="J23" s="48" t="n">
        <f aca="false">D23-E23-F23-G23-H23-I23</f>
        <v>50210.497</v>
      </c>
      <c r="K23" s="46" t="s">
        <v>410</v>
      </c>
      <c r="L23" s="50" t="n">
        <v>46006</v>
      </c>
    </row>
    <row r="24" customFormat="false" ht="15.75" hidden="false" customHeight="true" outlineLevel="0" collapsed="false">
      <c r="A24" s="40" t="s">
        <v>130</v>
      </c>
      <c r="B24" s="41" t="s">
        <v>428</v>
      </c>
      <c r="C24" s="41" t="s">
        <v>13</v>
      </c>
      <c r="D24" s="42" t="n">
        <v>144225</v>
      </c>
      <c r="E24" s="42" t="n">
        <f aca="false">D24*0.22</f>
        <v>31729.5</v>
      </c>
      <c r="F24" s="42" t="n">
        <f aca="false">D24*0.05</f>
        <v>7211.25</v>
      </c>
      <c r="G24" s="42" t="n">
        <f aca="false">MIN(D24*0.062,9114)</f>
        <v>8941.95</v>
      </c>
      <c r="H24" s="42" t="n">
        <f aca="false">D24*0.0145</f>
        <v>2091.2625</v>
      </c>
      <c r="I24" s="42" t="n">
        <v>3600</v>
      </c>
      <c r="J24" s="42" t="n">
        <f aca="false">D24-E24-F24-G24-H24-I24</f>
        <v>90651.0375</v>
      </c>
      <c r="K24" s="40" t="s">
        <v>410</v>
      </c>
      <c r="L24" s="45" t="n">
        <v>46021</v>
      </c>
    </row>
    <row r="25" customFormat="false" ht="15.75" hidden="false" customHeight="true" outlineLevel="0" collapsed="false">
      <c r="A25" s="46" t="s">
        <v>132</v>
      </c>
      <c r="B25" s="47" t="s">
        <v>429</v>
      </c>
      <c r="C25" s="47" t="s">
        <v>19</v>
      </c>
      <c r="D25" s="48" t="n">
        <v>56342</v>
      </c>
      <c r="E25" s="48" t="n">
        <f aca="false">D25*0.22</f>
        <v>12395.24</v>
      </c>
      <c r="F25" s="48" t="n">
        <f aca="false">D25*0.05</f>
        <v>2817.1</v>
      </c>
      <c r="G25" s="48" t="n">
        <f aca="false">MIN(D25*0.062,9114)</f>
        <v>3493.204</v>
      </c>
      <c r="H25" s="48" t="n">
        <f aca="false">D25*0.0145</f>
        <v>816.959</v>
      </c>
      <c r="I25" s="48" t="n">
        <v>3600</v>
      </c>
      <c r="J25" s="48" t="n">
        <f aca="false">D25-E25-F25-G25-H25-I25</f>
        <v>33219.497</v>
      </c>
      <c r="K25" s="46" t="s">
        <v>410</v>
      </c>
      <c r="L25" s="50" t="n">
        <v>46006</v>
      </c>
    </row>
    <row r="26" customFormat="false" ht="15.75" hidden="false" customHeight="true" outlineLevel="0" collapsed="false">
      <c r="A26" s="40" t="s">
        <v>135</v>
      </c>
      <c r="B26" s="41" t="s">
        <v>430</v>
      </c>
      <c r="C26" s="41" t="s">
        <v>15</v>
      </c>
      <c r="D26" s="42" t="n">
        <v>78838</v>
      </c>
      <c r="E26" s="42" t="n">
        <f aca="false">D26*0.22</f>
        <v>17344.36</v>
      </c>
      <c r="F26" s="42" t="n">
        <f aca="false">D26*0.05</f>
        <v>3941.9</v>
      </c>
      <c r="G26" s="42" t="n">
        <f aca="false">MIN(D26*0.062,9114)</f>
        <v>4887.956</v>
      </c>
      <c r="H26" s="42" t="n">
        <f aca="false">D26*0.0145</f>
        <v>1143.151</v>
      </c>
      <c r="I26" s="42" t="n">
        <v>3600</v>
      </c>
      <c r="J26" s="42" t="n">
        <f aca="false">D26-E26-F26-G26-H26-I26</f>
        <v>47920.633</v>
      </c>
      <c r="K26" s="40" t="s">
        <v>408</v>
      </c>
      <c r="L26" s="45" t="n">
        <v>46006</v>
      </c>
    </row>
    <row r="27" customFormat="false" ht="15.75" hidden="false" customHeight="true" outlineLevel="0" collapsed="false">
      <c r="A27" s="46" t="s">
        <v>137</v>
      </c>
      <c r="B27" s="47" t="s">
        <v>431</v>
      </c>
      <c r="C27" s="47" t="s">
        <v>18</v>
      </c>
      <c r="D27" s="48" t="n">
        <v>70925</v>
      </c>
      <c r="E27" s="48" t="n">
        <f aca="false">D27*0.22</f>
        <v>15603.5</v>
      </c>
      <c r="F27" s="48" t="n">
        <f aca="false">D27*0.05</f>
        <v>3546.25</v>
      </c>
      <c r="G27" s="48" t="n">
        <f aca="false">MIN(D27*0.062,9114)</f>
        <v>4397.35</v>
      </c>
      <c r="H27" s="48" t="n">
        <f aca="false">D27*0.0145</f>
        <v>1028.4125</v>
      </c>
      <c r="I27" s="48" t="n">
        <v>3600</v>
      </c>
      <c r="J27" s="48" t="n">
        <f aca="false">D27-E27-F27-G27-H27-I27</f>
        <v>42749.4875</v>
      </c>
      <c r="K27" s="46" t="s">
        <v>408</v>
      </c>
      <c r="L27" s="50" t="n">
        <v>46006</v>
      </c>
    </row>
    <row r="28" customFormat="false" ht="15.75" hidden="false" customHeight="true" outlineLevel="0" collapsed="false">
      <c r="A28" s="40" t="s">
        <v>140</v>
      </c>
      <c r="B28" s="41" t="s">
        <v>432</v>
      </c>
      <c r="C28" s="41" t="s">
        <v>7</v>
      </c>
      <c r="D28" s="42" t="n">
        <v>136952</v>
      </c>
      <c r="E28" s="42" t="n">
        <f aca="false">D28*0.22</f>
        <v>30129.44</v>
      </c>
      <c r="F28" s="42" t="n">
        <f aca="false">D28*0.05</f>
        <v>6847.6</v>
      </c>
      <c r="G28" s="42" t="n">
        <f aca="false">MIN(D28*0.062,9114)</f>
        <v>8491.024</v>
      </c>
      <c r="H28" s="42" t="n">
        <f aca="false">D28*0.0145</f>
        <v>1985.804</v>
      </c>
      <c r="I28" s="42" t="n">
        <v>3600</v>
      </c>
      <c r="J28" s="42" t="n">
        <f aca="false">D28-E28-F28-G28-H28-I28</f>
        <v>85898.132</v>
      </c>
      <c r="K28" s="40" t="s">
        <v>406</v>
      </c>
      <c r="L28" s="45" t="n">
        <v>46021</v>
      </c>
    </row>
    <row r="29" customFormat="false" ht="15.75" hidden="false" customHeight="true" outlineLevel="0" collapsed="false">
      <c r="A29" s="46" t="s">
        <v>142</v>
      </c>
      <c r="B29" s="47" t="s">
        <v>433</v>
      </c>
      <c r="C29" s="47" t="s">
        <v>13</v>
      </c>
      <c r="D29" s="48" t="n">
        <v>110750</v>
      </c>
      <c r="E29" s="48" t="n">
        <f aca="false">D29*0.22</f>
        <v>24365</v>
      </c>
      <c r="F29" s="48" t="n">
        <f aca="false">D29*0.05</f>
        <v>5537.5</v>
      </c>
      <c r="G29" s="48" t="n">
        <f aca="false">MIN(D29*0.062,9114)</f>
        <v>6866.5</v>
      </c>
      <c r="H29" s="48" t="n">
        <f aca="false">D29*0.0145</f>
        <v>1605.875</v>
      </c>
      <c r="I29" s="48" t="n">
        <v>3600</v>
      </c>
      <c r="J29" s="48" t="n">
        <f aca="false">D29-E29-F29-G29-H29-I29</f>
        <v>68775.125</v>
      </c>
      <c r="K29" s="46" t="s">
        <v>406</v>
      </c>
      <c r="L29" s="50" t="n">
        <v>46021</v>
      </c>
    </row>
    <row r="30" customFormat="false" ht="15.75" hidden="false" customHeight="true" outlineLevel="0" collapsed="false">
      <c r="A30" s="40" t="s">
        <v>144</v>
      </c>
      <c r="B30" s="41" t="s">
        <v>434</v>
      </c>
      <c r="C30" s="41" t="s">
        <v>9</v>
      </c>
      <c r="D30" s="42" t="n">
        <v>110867</v>
      </c>
      <c r="E30" s="42" t="n">
        <f aca="false">D30*0.22</f>
        <v>24390.74</v>
      </c>
      <c r="F30" s="42" t="n">
        <f aca="false">D30*0.05</f>
        <v>5543.35</v>
      </c>
      <c r="G30" s="42" t="n">
        <f aca="false">MIN(D30*0.062,9114)</f>
        <v>6873.754</v>
      </c>
      <c r="H30" s="42" t="n">
        <f aca="false">D30*0.0145</f>
        <v>1607.5715</v>
      </c>
      <c r="I30" s="42" t="n">
        <v>3600</v>
      </c>
      <c r="J30" s="42" t="n">
        <f aca="false">D30-E30-F30-G30-H30-I30</f>
        <v>68851.5845</v>
      </c>
      <c r="K30" s="40" t="s">
        <v>408</v>
      </c>
      <c r="L30" s="45" t="n">
        <v>46021</v>
      </c>
    </row>
    <row r="31" customFormat="false" ht="15.75" hidden="false" customHeight="true" outlineLevel="0" collapsed="false">
      <c r="A31" s="46" t="s">
        <v>147</v>
      </c>
      <c r="B31" s="47" t="s">
        <v>435</v>
      </c>
      <c r="C31" s="47" t="s">
        <v>17</v>
      </c>
      <c r="D31" s="48" t="n">
        <v>65002</v>
      </c>
      <c r="E31" s="48" t="n">
        <f aca="false">D31*0.22</f>
        <v>14300.44</v>
      </c>
      <c r="F31" s="48" t="n">
        <f aca="false">D31*0.05</f>
        <v>3250.1</v>
      </c>
      <c r="G31" s="48" t="n">
        <f aca="false">MIN(D31*0.062,9114)</f>
        <v>4030.124</v>
      </c>
      <c r="H31" s="48" t="n">
        <f aca="false">D31*0.0145</f>
        <v>942.529</v>
      </c>
      <c r="I31" s="48" t="n">
        <v>3600</v>
      </c>
      <c r="J31" s="48" t="n">
        <f aca="false">D31-E31-F31-G31-H31-I31</f>
        <v>38878.807</v>
      </c>
      <c r="K31" s="46" t="s">
        <v>406</v>
      </c>
      <c r="L31" s="50" t="n">
        <v>46006</v>
      </c>
    </row>
    <row r="32" customFormat="false" ht="15.75" hidden="false" customHeight="true" outlineLevel="0" collapsed="false">
      <c r="A32" s="40" t="s">
        <v>149</v>
      </c>
      <c r="B32" s="41" t="s">
        <v>436</v>
      </c>
      <c r="C32" s="41" t="s">
        <v>7</v>
      </c>
      <c r="D32" s="42" t="n">
        <v>66875</v>
      </c>
      <c r="E32" s="42" t="n">
        <f aca="false">D32*0.22</f>
        <v>14712.5</v>
      </c>
      <c r="F32" s="42" t="n">
        <f aca="false">D32*0.05</f>
        <v>3343.75</v>
      </c>
      <c r="G32" s="42" t="n">
        <f aca="false">MIN(D32*0.062,9114)</f>
        <v>4146.25</v>
      </c>
      <c r="H32" s="42" t="n">
        <f aca="false">D32*0.0145</f>
        <v>969.6875</v>
      </c>
      <c r="I32" s="42" t="n">
        <v>3600</v>
      </c>
      <c r="J32" s="42" t="n">
        <f aca="false">D32-E32-F32-G32-H32-I32</f>
        <v>40102.8125</v>
      </c>
      <c r="K32" s="40" t="s">
        <v>410</v>
      </c>
      <c r="L32" s="45" t="n">
        <v>46006</v>
      </c>
    </row>
    <row r="33" customFormat="false" ht="15.75" hidden="false" customHeight="true" outlineLevel="0" collapsed="false">
      <c r="A33" s="46" t="s">
        <v>152</v>
      </c>
      <c r="B33" s="47" t="s">
        <v>437</v>
      </c>
      <c r="C33" s="47" t="s">
        <v>15</v>
      </c>
      <c r="D33" s="48" t="n">
        <v>102682</v>
      </c>
      <c r="E33" s="48" t="n">
        <f aca="false">D33*0.22</f>
        <v>22590.04</v>
      </c>
      <c r="F33" s="48" t="n">
        <f aca="false">D33*0.05</f>
        <v>5134.1</v>
      </c>
      <c r="G33" s="48" t="n">
        <f aca="false">MIN(D33*0.062,9114)</f>
        <v>6366.284</v>
      </c>
      <c r="H33" s="48" t="n">
        <f aca="false">D33*0.0145</f>
        <v>1488.889</v>
      </c>
      <c r="I33" s="48" t="n">
        <v>3600</v>
      </c>
      <c r="J33" s="48" t="n">
        <f aca="false">D33-E33-F33-G33-H33-I33</f>
        <v>63502.687</v>
      </c>
      <c r="K33" s="46" t="s">
        <v>406</v>
      </c>
      <c r="L33" s="50" t="n">
        <v>46006</v>
      </c>
    </row>
    <row r="34" customFormat="false" ht="15.75" hidden="false" customHeight="true" outlineLevel="0" collapsed="false">
      <c r="A34" s="40" t="s">
        <v>155</v>
      </c>
      <c r="B34" s="41" t="s">
        <v>438</v>
      </c>
      <c r="C34" s="41" t="s">
        <v>13</v>
      </c>
      <c r="D34" s="42" t="n">
        <v>57841</v>
      </c>
      <c r="E34" s="42" t="n">
        <f aca="false">D34*0.22</f>
        <v>12725.02</v>
      </c>
      <c r="F34" s="42" t="n">
        <f aca="false">D34*0.05</f>
        <v>2892.05</v>
      </c>
      <c r="G34" s="42" t="n">
        <f aca="false">MIN(D34*0.062,9114)</f>
        <v>3586.142</v>
      </c>
      <c r="H34" s="42" t="n">
        <f aca="false">D34*0.0145</f>
        <v>838.6945</v>
      </c>
      <c r="I34" s="42" t="n">
        <v>3600</v>
      </c>
      <c r="J34" s="42" t="n">
        <f aca="false">D34-E34-F34-G34-H34-I34</f>
        <v>34199.0935</v>
      </c>
      <c r="K34" s="40" t="s">
        <v>410</v>
      </c>
      <c r="L34" s="45" t="n">
        <v>46021</v>
      </c>
    </row>
    <row r="35" customFormat="false" ht="15.75" hidden="false" customHeight="true" outlineLevel="0" collapsed="false">
      <c r="A35" s="46" t="s">
        <v>158</v>
      </c>
      <c r="B35" s="47" t="s">
        <v>439</v>
      </c>
      <c r="C35" s="47" t="s">
        <v>17</v>
      </c>
      <c r="D35" s="48" t="n">
        <v>111185</v>
      </c>
      <c r="E35" s="48" t="n">
        <f aca="false">D35*0.22</f>
        <v>24460.7</v>
      </c>
      <c r="F35" s="48" t="n">
        <f aca="false">D35*0.05</f>
        <v>5559.25</v>
      </c>
      <c r="G35" s="48" t="n">
        <f aca="false">MIN(D35*0.062,9114)</f>
        <v>6893.47</v>
      </c>
      <c r="H35" s="48" t="n">
        <f aca="false">D35*0.0145</f>
        <v>1612.1825</v>
      </c>
      <c r="I35" s="48" t="n">
        <v>3600</v>
      </c>
      <c r="J35" s="48" t="n">
        <f aca="false">D35-E35-F35-G35-H35-I35</f>
        <v>69059.3975</v>
      </c>
      <c r="K35" s="46" t="s">
        <v>410</v>
      </c>
      <c r="L35" s="50" t="n">
        <v>46006</v>
      </c>
    </row>
    <row r="36" customFormat="false" ht="15.75" hidden="false" customHeight="true" outlineLevel="0" collapsed="false">
      <c r="A36" s="40" t="s">
        <v>160</v>
      </c>
      <c r="B36" s="41" t="s">
        <v>440</v>
      </c>
      <c r="C36" s="41" t="s">
        <v>13</v>
      </c>
      <c r="D36" s="42" t="n">
        <v>89135</v>
      </c>
      <c r="E36" s="42" t="n">
        <f aca="false">D36*0.22</f>
        <v>19609.7</v>
      </c>
      <c r="F36" s="42" t="n">
        <f aca="false">D36*0.05</f>
        <v>4456.75</v>
      </c>
      <c r="G36" s="42" t="n">
        <f aca="false">MIN(D36*0.062,9114)</f>
        <v>5526.37</v>
      </c>
      <c r="H36" s="42" t="n">
        <f aca="false">D36*0.0145</f>
        <v>1292.4575</v>
      </c>
      <c r="I36" s="42" t="n">
        <v>3600</v>
      </c>
      <c r="J36" s="42" t="n">
        <f aca="false">D36-E36-F36-G36-H36-I36</f>
        <v>54649.7225</v>
      </c>
      <c r="K36" s="40" t="s">
        <v>406</v>
      </c>
      <c r="L36" s="45" t="n">
        <v>46006</v>
      </c>
    </row>
    <row r="37" customFormat="false" ht="15.75" hidden="false" customHeight="true" outlineLevel="0" collapsed="false">
      <c r="A37" s="46" t="s">
        <v>162</v>
      </c>
      <c r="B37" s="47" t="s">
        <v>441</v>
      </c>
      <c r="C37" s="47" t="s">
        <v>15</v>
      </c>
      <c r="D37" s="48" t="n">
        <v>125694</v>
      </c>
      <c r="E37" s="48" t="n">
        <f aca="false">D37*0.22</f>
        <v>27652.68</v>
      </c>
      <c r="F37" s="48" t="n">
        <f aca="false">D37*0.05</f>
        <v>6284.7</v>
      </c>
      <c r="G37" s="48" t="n">
        <f aca="false">MIN(D37*0.062,9114)</f>
        <v>7793.028</v>
      </c>
      <c r="H37" s="48" t="n">
        <f aca="false">D37*0.0145</f>
        <v>1822.563</v>
      </c>
      <c r="I37" s="48" t="n">
        <v>3600</v>
      </c>
      <c r="J37" s="48" t="n">
        <f aca="false">D37-E37-F37-G37-H37-I37</f>
        <v>78541.029</v>
      </c>
      <c r="K37" s="46" t="s">
        <v>410</v>
      </c>
      <c r="L37" s="50" t="n">
        <v>46021</v>
      </c>
    </row>
    <row r="38" customFormat="false" ht="15.75" hidden="false" customHeight="true" outlineLevel="0" collapsed="false">
      <c r="A38" s="40" t="s">
        <v>165</v>
      </c>
      <c r="B38" s="41" t="s">
        <v>442</v>
      </c>
      <c r="C38" s="41" t="s">
        <v>9</v>
      </c>
      <c r="D38" s="42" t="n">
        <v>107082</v>
      </c>
      <c r="E38" s="42" t="n">
        <f aca="false">D38*0.22</f>
        <v>23558.04</v>
      </c>
      <c r="F38" s="42" t="n">
        <f aca="false">D38*0.05</f>
        <v>5354.1</v>
      </c>
      <c r="G38" s="42" t="n">
        <f aca="false">MIN(D38*0.062,9114)</f>
        <v>6639.084</v>
      </c>
      <c r="H38" s="42" t="n">
        <f aca="false">D38*0.0145</f>
        <v>1552.689</v>
      </c>
      <c r="I38" s="42" t="n">
        <v>3600</v>
      </c>
      <c r="J38" s="42" t="n">
        <f aca="false">D38-E38-F38-G38-H38-I38</f>
        <v>66378.087</v>
      </c>
      <c r="K38" s="40" t="s">
        <v>408</v>
      </c>
      <c r="L38" s="45" t="n">
        <v>46006</v>
      </c>
    </row>
    <row r="39" customFormat="false" ht="15.75" hidden="false" customHeight="true" outlineLevel="0" collapsed="false">
      <c r="A39" s="46" t="s">
        <v>167</v>
      </c>
      <c r="B39" s="47" t="s">
        <v>443</v>
      </c>
      <c r="C39" s="47" t="s">
        <v>9</v>
      </c>
      <c r="D39" s="48" t="n">
        <v>144218</v>
      </c>
      <c r="E39" s="48" t="n">
        <f aca="false">D39*0.22</f>
        <v>31727.96</v>
      </c>
      <c r="F39" s="48" t="n">
        <f aca="false">D39*0.05</f>
        <v>7210.9</v>
      </c>
      <c r="G39" s="48" t="n">
        <f aca="false">MIN(D39*0.062,9114)</f>
        <v>8941.516</v>
      </c>
      <c r="H39" s="48" t="n">
        <f aca="false">D39*0.0145</f>
        <v>2091.161</v>
      </c>
      <c r="I39" s="48" t="n">
        <v>3600</v>
      </c>
      <c r="J39" s="48" t="n">
        <f aca="false">D39-E39-F39-G39-H39-I39</f>
        <v>90646.463</v>
      </c>
      <c r="K39" s="46" t="s">
        <v>410</v>
      </c>
      <c r="L39" s="50" t="n">
        <v>46006</v>
      </c>
    </row>
    <row r="40" customFormat="false" ht="15.75" hidden="false" customHeight="true" outlineLevel="0" collapsed="false">
      <c r="A40" s="40" t="s">
        <v>169</v>
      </c>
      <c r="B40" s="41" t="s">
        <v>374</v>
      </c>
      <c r="C40" s="41" t="s">
        <v>15</v>
      </c>
      <c r="D40" s="42" t="n">
        <v>64429</v>
      </c>
      <c r="E40" s="42" t="n">
        <f aca="false">D40*0.22</f>
        <v>14174.38</v>
      </c>
      <c r="F40" s="42" t="n">
        <f aca="false">D40*0.05</f>
        <v>3221.45</v>
      </c>
      <c r="G40" s="42" t="n">
        <f aca="false">MIN(D40*0.062,9114)</f>
        <v>3994.598</v>
      </c>
      <c r="H40" s="42" t="n">
        <f aca="false">D40*0.0145</f>
        <v>934.2205</v>
      </c>
      <c r="I40" s="42" t="n">
        <v>3600</v>
      </c>
      <c r="J40" s="42" t="n">
        <f aca="false">D40-E40-F40-G40-H40-I40</f>
        <v>38504.3515</v>
      </c>
      <c r="K40" s="40" t="s">
        <v>406</v>
      </c>
      <c r="L40" s="45" t="n">
        <v>46006</v>
      </c>
    </row>
    <row r="41" customFormat="false" ht="15.75" hidden="false" customHeight="true" outlineLevel="0" collapsed="false">
      <c r="A41" s="46" t="s">
        <v>171</v>
      </c>
      <c r="B41" s="47" t="s">
        <v>444</v>
      </c>
      <c r="C41" s="47" t="s">
        <v>19</v>
      </c>
      <c r="D41" s="48" t="n">
        <v>113526</v>
      </c>
      <c r="E41" s="48" t="n">
        <f aca="false">D41*0.22</f>
        <v>24975.72</v>
      </c>
      <c r="F41" s="48" t="n">
        <f aca="false">D41*0.05</f>
        <v>5676.3</v>
      </c>
      <c r="G41" s="48" t="n">
        <f aca="false">MIN(D41*0.062,9114)</f>
        <v>7038.612</v>
      </c>
      <c r="H41" s="48" t="n">
        <f aca="false">D41*0.0145</f>
        <v>1646.127</v>
      </c>
      <c r="I41" s="48" t="n">
        <v>3600</v>
      </c>
      <c r="J41" s="48" t="n">
        <f aca="false">D41-E41-F41-G41-H41-I41</f>
        <v>70589.241</v>
      </c>
      <c r="K41" s="46" t="s">
        <v>408</v>
      </c>
      <c r="L41" s="50" t="n">
        <v>46006</v>
      </c>
    </row>
    <row r="42" customFormat="false" ht="15.75" hidden="false" customHeight="true" outlineLevel="0" collapsed="false">
      <c r="A42" s="40" t="s">
        <v>174</v>
      </c>
      <c r="B42" s="41" t="s">
        <v>445</v>
      </c>
      <c r="C42" s="41" t="s">
        <v>18</v>
      </c>
      <c r="D42" s="42" t="n">
        <v>63215</v>
      </c>
      <c r="E42" s="42" t="n">
        <f aca="false">D42*0.22</f>
        <v>13907.3</v>
      </c>
      <c r="F42" s="42" t="n">
        <f aca="false">D42*0.05</f>
        <v>3160.75</v>
      </c>
      <c r="G42" s="42" t="n">
        <f aca="false">MIN(D42*0.062,9114)</f>
        <v>3919.33</v>
      </c>
      <c r="H42" s="42" t="n">
        <f aca="false">D42*0.0145</f>
        <v>916.6175</v>
      </c>
      <c r="I42" s="42" t="n">
        <v>3600</v>
      </c>
      <c r="J42" s="42" t="n">
        <f aca="false">D42-E42-F42-G42-H42-I42</f>
        <v>37711.0025</v>
      </c>
      <c r="K42" s="40" t="s">
        <v>410</v>
      </c>
      <c r="L42" s="45" t="n">
        <v>46006</v>
      </c>
    </row>
    <row r="43" customFormat="false" ht="15.75" hidden="false" customHeight="true" outlineLevel="0" collapsed="false">
      <c r="A43" s="46" t="s">
        <v>176</v>
      </c>
      <c r="B43" s="47" t="s">
        <v>446</v>
      </c>
      <c r="C43" s="47" t="s">
        <v>7</v>
      </c>
      <c r="D43" s="48" t="n">
        <v>98602</v>
      </c>
      <c r="E43" s="48" t="n">
        <f aca="false">D43*0.22</f>
        <v>21692.44</v>
      </c>
      <c r="F43" s="48" t="n">
        <f aca="false">D43*0.05</f>
        <v>4930.1</v>
      </c>
      <c r="G43" s="48" t="n">
        <f aca="false">MIN(D43*0.062,9114)</f>
        <v>6113.324</v>
      </c>
      <c r="H43" s="48" t="n">
        <f aca="false">D43*0.0145</f>
        <v>1429.729</v>
      </c>
      <c r="I43" s="48" t="n">
        <v>3600</v>
      </c>
      <c r="J43" s="48" t="n">
        <f aca="false">D43-E43-F43-G43-H43-I43</f>
        <v>60836.407</v>
      </c>
      <c r="K43" s="46" t="s">
        <v>408</v>
      </c>
      <c r="L43" s="50" t="n">
        <v>46006</v>
      </c>
    </row>
    <row r="44" customFormat="false" ht="19.5" hidden="false" customHeight="true" outlineLevel="0" collapsed="false">
      <c r="A44" s="69" t="s">
        <v>447</v>
      </c>
      <c r="B44" s="69"/>
      <c r="C44" s="69"/>
      <c r="D44" s="70" t="n">
        <f aca="false">SUM(D4:D43)</f>
        <v>3951411</v>
      </c>
      <c r="E44" s="70" t="n">
        <f aca="false">SUM(E4:E43)</f>
        <v>869310.42</v>
      </c>
      <c r="F44" s="70" t="n">
        <f aca="false">SUM(F4:F43)</f>
        <v>197570.55</v>
      </c>
      <c r="G44" s="70" t="n">
        <f aca="false">SUM(G4:G43)</f>
        <v>244987.482</v>
      </c>
      <c r="H44" s="70" t="n">
        <f aca="false">SUM(H4:H43)</f>
        <v>57295.4595</v>
      </c>
      <c r="I44" s="70" t="n">
        <f aca="false">SUM(I4:I43)</f>
        <v>144000</v>
      </c>
      <c r="J44" s="70" t="n">
        <f aca="false">SUM(J4:J43)</f>
        <v>2438247.0885</v>
      </c>
    </row>
  </sheetData>
  <mergeCells count="2">
    <mergeCell ref="A1:K1"/>
    <mergeCell ref="A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3C98"/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3"/>
  </cols>
  <sheetData>
    <row r="1" customFormat="false" ht="36" hidden="false" customHeight="true" outlineLevel="0" collapsed="false">
      <c r="A1" s="71" t="s">
        <v>448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3" customFormat="false" ht="15" hidden="false" customHeight="false" outlineLevel="0" collapsed="false">
      <c r="A3" s="72" t="s">
        <v>449</v>
      </c>
      <c r="B3" s="72"/>
      <c r="C3" s="72"/>
    </row>
    <row r="4" customFormat="false" ht="15" hidden="false" customHeight="false" outlineLevel="0" collapsed="false">
      <c r="A4" s="34" t="s">
        <v>450</v>
      </c>
      <c r="B4" s="73" t="n">
        <v>0.12</v>
      </c>
    </row>
    <row r="5" customFormat="false" ht="15" hidden="false" customHeight="false" outlineLevel="0" collapsed="false">
      <c r="A5" s="34" t="s">
        <v>451</v>
      </c>
      <c r="B5" s="73" t="n">
        <v>0.08</v>
      </c>
    </row>
    <row r="6" customFormat="false" ht="15" hidden="false" customHeight="false" outlineLevel="0" collapsed="false">
      <c r="A6" s="34" t="s">
        <v>452</v>
      </c>
      <c r="B6" s="73" t="n">
        <v>0.045</v>
      </c>
    </row>
    <row r="7" customFormat="false" ht="15" hidden="false" customHeight="false" outlineLevel="0" collapsed="false">
      <c r="A7" s="34" t="s">
        <v>453</v>
      </c>
      <c r="B7" s="74" t="n">
        <v>8500</v>
      </c>
    </row>
    <row r="8" customFormat="false" ht="15" hidden="false" customHeight="false" outlineLevel="0" collapsed="false">
      <c r="A8" s="34" t="s">
        <v>454</v>
      </c>
      <c r="B8" s="73" t="n">
        <v>0.22</v>
      </c>
    </row>
    <row r="9" customFormat="false" ht="12" hidden="false" customHeight="true" outlineLevel="0" collapsed="false"/>
    <row r="10" customFormat="false" ht="27.75" hidden="false" customHeight="true" outlineLevel="0" collapsed="false">
      <c r="A10" s="53" t="s">
        <v>455</v>
      </c>
      <c r="B10" s="53" t="s">
        <v>456</v>
      </c>
      <c r="C10" s="53" t="s">
        <v>457</v>
      </c>
      <c r="D10" s="53" t="s">
        <v>458</v>
      </c>
      <c r="E10" s="53" t="s">
        <v>459</v>
      </c>
      <c r="F10" s="53" t="s">
        <v>460</v>
      </c>
      <c r="G10" s="53" t="s">
        <v>461</v>
      </c>
      <c r="H10" s="53" t="s">
        <v>462</v>
      </c>
      <c r="I10" s="53" t="s">
        <v>463</v>
      </c>
      <c r="J10" s="53" t="s">
        <v>464</v>
      </c>
      <c r="K10" s="53" t="s">
        <v>465</v>
      </c>
      <c r="L10" s="53" t="s">
        <v>466</v>
      </c>
      <c r="M10" s="53" t="s">
        <v>467</v>
      </c>
      <c r="N10" s="53" t="s">
        <v>468</v>
      </c>
    </row>
    <row r="11" customFormat="false" ht="18" hidden="false" customHeight="true" outlineLevel="0" collapsed="false">
      <c r="A11" s="75" t="s">
        <v>469</v>
      </c>
      <c r="B11" s="40" t="n">
        <v>50</v>
      </c>
      <c r="C11" s="40" t="n">
        <v>52</v>
      </c>
      <c r="D11" s="40" t="n">
        <v>55</v>
      </c>
      <c r="E11" s="40" t="n">
        <v>57</v>
      </c>
      <c r="F11" s="40" t="n">
        <v>59</v>
      </c>
      <c r="G11" s="40" t="n">
        <v>62</v>
      </c>
      <c r="H11" s="40" t="n">
        <v>65</v>
      </c>
      <c r="I11" s="40" t="n">
        <v>68</v>
      </c>
      <c r="J11" s="40" t="n">
        <v>71</v>
      </c>
      <c r="K11" s="40" t="n">
        <v>74</v>
      </c>
      <c r="L11" s="40" t="n">
        <v>78</v>
      </c>
      <c r="M11" s="40" t="n">
        <v>82</v>
      </c>
      <c r="N11" s="40" t="n">
        <v>86</v>
      </c>
    </row>
    <row r="12" customFormat="false" ht="18" hidden="false" customHeight="true" outlineLevel="0" collapsed="false">
      <c r="A12" s="76" t="s">
        <v>470</v>
      </c>
      <c r="B12" s="46" t="n">
        <v>0</v>
      </c>
      <c r="C12" s="46" t="n">
        <v>2</v>
      </c>
      <c r="D12" s="46" t="n">
        <v>3</v>
      </c>
      <c r="E12" s="46" t="n">
        <v>2</v>
      </c>
      <c r="F12" s="46" t="n">
        <v>2</v>
      </c>
      <c r="G12" s="46" t="n">
        <v>3</v>
      </c>
      <c r="H12" s="46" t="n">
        <v>3</v>
      </c>
      <c r="I12" s="46" t="n">
        <v>3</v>
      </c>
      <c r="J12" s="46" t="n">
        <v>3</v>
      </c>
      <c r="K12" s="46" t="n">
        <v>3</v>
      </c>
      <c r="L12" s="46" t="n">
        <v>4</v>
      </c>
      <c r="M12" s="46" t="n">
        <v>4</v>
      </c>
      <c r="N12" s="46" t="n">
        <v>4</v>
      </c>
    </row>
    <row r="13" customFormat="false" ht="18" hidden="false" customHeight="true" outlineLevel="0" collapsed="false">
      <c r="A13" s="75" t="s">
        <v>471</v>
      </c>
      <c r="B13" s="40" t="n">
        <v>0</v>
      </c>
      <c r="C13" s="40" t="n">
        <v>0</v>
      </c>
      <c r="D13" s="40" t="n">
        <v>0</v>
      </c>
      <c r="E13" s="40" t="n">
        <v>0</v>
      </c>
      <c r="F13" s="40" t="n">
        <v>2</v>
      </c>
      <c r="G13" s="40" t="n">
        <v>1</v>
      </c>
      <c r="H13" s="40" t="n">
        <v>0</v>
      </c>
      <c r="I13" s="40" t="n">
        <v>0</v>
      </c>
      <c r="J13" s="40" t="n">
        <v>1</v>
      </c>
      <c r="K13" s="40" t="n">
        <v>1</v>
      </c>
      <c r="L13" s="40" t="n">
        <v>0</v>
      </c>
      <c r="M13" s="40" t="n">
        <v>0</v>
      </c>
      <c r="N13" s="40" t="n">
        <v>1</v>
      </c>
    </row>
    <row r="14" customFormat="false" ht="18" hidden="false" customHeight="true" outlineLevel="0" collapsed="false">
      <c r="A14" s="76" t="s">
        <v>472</v>
      </c>
      <c r="B14" s="48" t="n">
        <v>4250000</v>
      </c>
      <c r="C14" s="48" t="n">
        <v>4420000</v>
      </c>
      <c r="D14" s="48" t="n">
        <v>4675000</v>
      </c>
      <c r="E14" s="48" t="n">
        <v>4845000</v>
      </c>
      <c r="F14" s="48" t="n">
        <v>5015000</v>
      </c>
      <c r="G14" s="48" t="n">
        <v>5270000</v>
      </c>
      <c r="H14" s="48" t="n">
        <v>5525000</v>
      </c>
      <c r="I14" s="48" t="n">
        <v>5780000</v>
      </c>
      <c r="J14" s="48" t="n">
        <v>6035000</v>
      </c>
      <c r="K14" s="48" t="n">
        <v>6290000</v>
      </c>
      <c r="L14" s="48" t="n">
        <v>6630000</v>
      </c>
      <c r="M14" s="48" t="n">
        <v>6970000</v>
      </c>
      <c r="N14" s="48" t="n">
        <v>7310000</v>
      </c>
    </row>
    <row r="15" customFormat="false" ht="18" hidden="false" customHeight="true" outlineLevel="0" collapsed="false">
      <c r="A15" s="75" t="s">
        <v>473</v>
      </c>
      <c r="B15" s="42" t="n">
        <f aca="false">C12*$B$7</f>
        <v>17000</v>
      </c>
      <c r="C15" s="42" t="n">
        <f aca="false">C12*$B$7</f>
        <v>17000</v>
      </c>
      <c r="D15" s="42" t="n">
        <f aca="false">C12*$B$7</f>
        <v>17000</v>
      </c>
      <c r="E15" s="42" t="n">
        <f aca="false">C12*$B$7</f>
        <v>17000</v>
      </c>
      <c r="F15" s="42" t="n">
        <f aca="false">C12*$B$7</f>
        <v>17000</v>
      </c>
      <c r="G15" s="42" t="n">
        <f aca="false">C12*$B$7</f>
        <v>17000</v>
      </c>
      <c r="H15" s="42" t="n">
        <f aca="false">C12*$B$7</f>
        <v>17000</v>
      </c>
      <c r="I15" s="42" t="n">
        <f aca="false">C12*$B$7</f>
        <v>17000</v>
      </c>
      <c r="J15" s="42" t="n">
        <f aca="false">C12*$B$7</f>
        <v>17000</v>
      </c>
      <c r="K15" s="42" t="n">
        <f aca="false">C12*$B$7</f>
        <v>17000</v>
      </c>
      <c r="L15" s="42" t="n">
        <f aca="false">C12*$B$7</f>
        <v>17000</v>
      </c>
      <c r="M15" s="42" t="n">
        <f aca="false">C12*$B$7</f>
        <v>17000</v>
      </c>
      <c r="N15" s="42" t="n">
        <f aca="false">C12*$B$7</f>
        <v>17000</v>
      </c>
    </row>
    <row r="16" customFormat="false" ht="18" hidden="false" customHeight="true" outlineLevel="0" collapsed="false">
      <c r="A16" s="76" t="s">
        <v>474</v>
      </c>
      <c r="B16" s="48" t="n">
        <f aca="false">B14*$B$8</f>
        <v>935000</v>
      </c>
      <c r="C16" s="48" t="n">
        <f aca="false">C14*$B$8</f>
        <v>972400</v>
      </c>
      <c r="D16" s="48" t="n">
        <f aca="false">D14*$B$8</f>
        <v>1028500</v>
      </c>
      <c r="E16" s="48" t="n">
        <f aca="false">E14*$B$8</f>
        <v>1065900</v>
      </c>
      <c r="F16" s="48" t="n">
        <f aca="false">F14*$B$8</f>
        <v>1103300</v>
      </c>
      <c r="G16" s="48" t="n">
        <f aca="false">G14*$B$8</f>
        <v>1159400</v>
      </c>
      <c r="H16" s="48" t="n">
        <f aca="false">H14*$B$8</f>
        <v>1215500</v>
      </c>
      <c r="I16" s="48" t="n">
        <f aca="false">I14*$B$8</f>
        <v>1271600</v>
      </c>
      <c r="J16" s="48" t="n">
        <f aca="false">J14*$B$8</f>
        <v>1327700</v>
      </c>
      <c r="K16" s="48" t="n">
        <f aca="false">K14*$B$8</f>
        <v>1383800</v>
      </c>
      <c r="L16" s="48" t="n">
        <f aca="false">L14*$B$8</f>
        <v>1458600</v>
      </c>
      <c r="M16" s="48" t="n">
        <f aca="false">M14*$B$8</f>
        <v>1533400</v>
      </c>
      <c r="N16" s="48" t="n">
        <f aca="false">N14*$B$8</f>
        <v>1608200</v>
      </c>
    </row>
    <row r="17" customFormat="false" ht="18" hidden="false" customHeight="true" outlineLevel="0" collapsed="false">
      <c r="A17" s="75" t="s">
        <v>475</v>
      </c>
      <c r="B17" s="77" t="n">
        <f aca="false">B14+B15+B16</f>
        <v>5202000</v>
      </c>
      <c r="C17" s="77" t="n">
        <f aca="false">C14+C15+C16</f>
        <v>5409400</v>
      </c>
      <c r="D17" s="77" t="n">
        <f aca="false">D14+D15+D16</f>
        <v>5720500</v>
      </c>
      <c r="E17" s="77" t="n">
        <f aca="false">E14+E15+E16</f>
        <v>5927900</v>
      </c>
      <c r="F17" s="77" t="n">
        <f aca="false">F14+F15+F16</f>
        <v>6135300</v>
      </c>
      <c r="G17" s="77" t="n">
        <f aca="false">G14+G15+G16</f>
        <v>6446400</v>
      </c>
      <c r="H17" s="77" t="n">
        <f aca="false">H14+H15+H16</f>
        <v>6757500</v>
      </c>
      <c r="I17" s="77" t="n">
        <f aca="false">I14+I15+I16</f>
        <v>7068600</v>
      </c>
      <c r="J17" s="77" t="n">
        <f aca="false">J14+J15+J16</f>
        <v>7379700</v>
      </c>
      <c r="K17" s="77" t="n">
        <f aca="false">K14+K15+K16</f>
        <v>7690800</v>
      </c>
      <c r="L17" s="77" t="n">
        <f aca="false">L14+L15+L16</f>
        <v>8105600</v>
      </c>
      <c r="M17" s="77" t="n">
        <f aca="false">M14+M15+M16</f>
        <v>8520400</v>
      </c>
      <c r="N17" s="77" t="n">
        <f aca="false">N14+N15+N16</f>
        <v>8935200</v>
      </c>
    </row>
  </sheetData>
  <mergeCells count="2">
    <mergeCell ref="A1:N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7A65"/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28"/>
    <col collapsed="false" customWidth="true" hidden="false" outlineLevel="0" max="6" min="5" style="0" width="18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36" hidden="false" customHeight="true" outlineLevel="0" collapsed="false">
      <c r="A1" s="78" t="s">
        <v>476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3" customFormat="false" ht="30" hidden="false" customHeight="true" outlineLevel="0" collapsed="false">
      <c r="A3" s="79" t="s">
        <v>39</v>
      </c>
      <c r="B3" s="79" t="s">
        <v>337</v>
      </c>
      <c r="C3" s="79" t="s">
        <v>22</v>
      </c>
      <c r="D3" s="79" t="s">
        <v>477</v>
      </c>
      <c r="E3" s="79" t="s">
        <v>478</v>
      </c>
      <c r="F3" s="79" t="s">
        <v>479</v>
      </c>
      <c r="G3" s="79" t="s">
        <v>480</v>
      </c>
      <c r="H3" s="79" t="s">
        <v>481</v>
      </c>
      <c r="I3" s="79" t="s">
        <v>482</v>
      </c>
      <c r="J3" s="79" t="s">
        <v>48</v>
      </c>
      <c r="K3" s="79" t="s">
        <v>483</v>
      </c>
      <c r="L3" s="79" t="s">
        <v>484</v>
      </c>
    </row>
    <row r="4" customFormat="false" ht="15.75" hidden="false" customHeight="true" outlineLevel="0" collapsed="false">
      <c r="A4" s="40" t="s">
        <v>52</v>
      </c>
      <c r="B4" s="41" t="s">
        <v>485</v>
      </c>
      <c r="C4" s="41" t="s">
        <v>11</v>
      </c>
      <c r="D4" s="41" t="s">
        <v>486</v>
      </c>
      <c r="E4" s="40" t="s">
        <v>487</v>
      </c>
      <c r="F4" s="41" t="s">
        <v>488</v>
      </c>
      <c r="G4" s="45" t="n">
        <v>45793</v>
      </c>
      <c r="H4" s="45" t="n">
        <v>45901</v>
      </c>
      <c r="I4" s="40" t="n">
        <v>22</v>
      </c>
      <c r="J4" s="56" t="s">
        <v>350</v>
      </c>
      <c r="K4" s="40"/>
      <c r="L4" s="40" t="s">
        <v>489</v>
      </c>
    </row>
    <row r="5" customFormat="false" ht="15.75" hidden="false" customHeight="true" outlineLevel="0" collapsed="false">
      <c r="A5" s="46" t="s">
        <v>59</v>
      </c>
      <c r="B5" s="47" t="s">
        <v>490</v>
      </c>
      <c r="C5" s="47" t="s">
        <v>19</v>
      </c>
      <c r="D5" s="47" t="s">
        <v>491</v>
      </c>
      <c r="E5" s="46" t="s">
        <v>484</v>
      </c>
      <c r="F5" s="47" t="s">
        <v>488</v>
      </c>
      <c r="G5" s="50" t="n">
        <v>45982</v>
      </c>
      <c r="H5" s="50" t="n">
        <v>46000</v>
      </c>
      <c r="I5" s="46" t="n">
        <v>33</v>
      </c>
      <c r="J5" s="61" t="s">
        <v>366</v>
      </c>
      <c r="K5" s="46"/>
      <c r="L5" s="46" t="s">
        <v>489</v>
      </c>
    </row>
    <row r="6" customFormat="false" ht="15.75" hidden="false" customHeight="true" outlineLevel="0" collapsed="false">
      <c r="A6" s="40" t="s">
        <v>65</v>
      </c>
      <c r="B6" s="41" t="s">
        <v>492</v>
      </c>
      <c r="C6" s="41" t="s">
        <v>7</v>
      </c>
      <c r="D6" s="41" t="s">
        <v>493</v>
      </c>
      <c r="E6" s="40" t="s">
        <v>494</v>
      </c>
      <c r="F6" s="41" t="s">
        <v>495</v>
      </c>
      <c r="G6" s="45" t="n">
        <v>45975</v>
      </c>
      <c r="H6" s="45" t="n">
        <v>46032</v>
      </c>
      <c r="I6" s="40" t="n">
        <v>5</v>
      </c>
      <c r="J6" s="61" t="s">
        <v>366</v>
      </c>
      <c r="K6" s="40"/>
      <c r="L6" s="40" t="s">
        <v>489</v>
      </c>
    </row>
    <row r="7" customFormat="false" ht="15.75" hidden="false" customHeight="true" outlineLevel="0" collapsed="false">
      <c r="A7" s="46" t="s">
        <v>70</v>
      </c>
      <c r="B7" s="47" t="s">
        <v>432</v>
      </c>
      <c r="C7" s="47" t="s">
        <v>17</v>
      </c>
      <c r="D7" s="47" t="s">
        <v>496</v>
      </c>
      <c r="E7" s="46" t="s">
        <v>494</v>
      </c>
      <c r="F7" s="47" t="s">
        <v>488</v>
      </c>
      <c r="G7" s="50" t="n">
        <v>45712</v>
      </c>
      <c r="H7" s="50" t="n">
        <v>45787</v>
      </c>
      <c r="I7" s="46" t="n">
        <v>19</v>
      </c>
      <c r="J7" s="58" t="s">
        <v>358</v>
      </c>
      <c r="K7" s="80" t="n">
        <v>82</v>
      </c>
      <c r="L7" s="46" t="s">
        <v>497</v>
      </c>
    </row>
    <row r="8" customFormat="false" ht="15.75" hidden="false" customHeight="true" outlineLevel="0" collapsed="false">
      <c r="A8" s="40" t="s">
        <v>75</v>
      </c>
      <c r="B8" s="41" t="s">
        <v>498</v>
      </c>
      <c r="C8" s="41" t="s">
        <v>17</v>
      </c>
      <c r="D8" s="41" t="s">
        <v>491</v>
      </c>
      <c r="E8" s="40" t="s">
        <v>494</v>
      </c>
      <c r="F8" s="41" t="s">
        <v>499</v>
      </c>
      <c r="G8" s="45" t="n">
        <v>45922</v>
      </c>
      <c r="H8" s="45" t="n">
        <v>45985</v>
      </c>
      <c r="I8" s="40" t="n">
        <v>9</v>
      </c>
      <c r="J8" s="57" t="s">
        <v>500</v>
      </c>
      <c r="K8" s="40"/>
      <c r="L8" s="40" t="s">
        <v>489</v>
      </c>
    </row>
    <row r="9" customFormat="false" ht="15.75" hidden="false" customHeight="true" outlineLevel="0" collapsed="false">
      <c r="A9" s="46" t="s">
        <v>79</v>
      </c>
      <c r="B9" s="47" t="s">
        <v>501</v>
      </c>
      <c r="C9" s="47" t="s">
        <v>7</v>
      </c>
      <c r="D9" s="47" t="s">
        <v>502</v>
      </c>
      <c r="E9" s="46" t="s">
        <v>503</v>
      </c>
      <c r="F9" s="47" t="s">
        <v>504</v>
      </c>
      <c r="G9" s="50" t="n">
        <v>45979</v>
      </c>
      <c r="H9" s="50" t="n">
        <v>46006</v>
      </c>
      <c r="I9" s="46" t="n">
        <v>2</v>
      </c>
      <c r="J9" s="58" t="s">
        <v>358</v>
      </c>
      <c r="K9" s="80" t="n">
        <v>71</v>
      </c>
      <c r="L9" s="46" t="s">
        <v>497</v>
      </c>
    </row>
    <row r="10" customFormat="false" ht="15.75" hidden="false" customHeight="true" outlineLevel="0" collapsed="false">
      <c r="A10" s="40" t="s">
        <v>84</v>
      </c>
      <c r="B10" s="41" t="s">
        <v>505</v>
      </c>
      <c r="C10" s="41" t="s">
        <v>7</v>
      </c>
      <c r="D10" s="41" t="s">
        <v>506</v>
      </c>
      <c r="E10" s="40" t="s">
        <v>487</v>
      </c>
      <c r="F10" s="41" t="s">
        <v>507</v>
      </c>
      <c r="G10" s="45" t="n">
        <v>45815</v>
      </c>
      <c r="H10" s="45" t="n">
        <v>45857</v>
      </c>
      <c r="I10" s="40" t="n">
        <v>24</v>
      </c>
      <c r="J10" s="57" t="s">
        <v>500</v>
      </c>
      <c r="K10" s="40"/>
      <c r="L10" s="40" t="s">
        <v>489</v>
      </c>
    </row>
    <row r="11" customFormat="false" ht="15.75" hidden="false" customHeight="true" outlineLevel="0" collapsed="false">
      <c r="A11" s="46" t="s">
        <v>87</v>
      </c>
      <c r="B11" s="47" t="s">
        <v>508</v>
      </c>
      <c r="C11" s="47" t="s">
        <v>19</v>
      </c>
      <c r="D11" s="47" t="s">
        <v>491</v>
      </c>
      <c r="E11" s="46" t="s">
        <v>484</v>
      </c>
      <c r="F11" s="47" t="s">
        <v>495</v>
      </c>
      <c r="G11" s="50" t="n">
        <v>45689</v>
      </c>
      <c r="H11" s="50" t="n">
        <v>45785</v>
      </c>
      <c r="I11" s="46" t="n">
        <v>17</v>
      </c>
      <c r="J11" s="57" t="s">
        <v>500</v>
      </c>
      <c r="K11" s="46"/>
      <c r="L11" s="46" t="s">
        <v>489</v>
      </c>
    </row>
    <row r="12" customFormat="false" ht="15.75" hidden="false" customHeight="true" outlineLevel="0" collapsed="false">
      <c r="A12" s="40" t="s">
        <v>91</v>
      </c>
      <c r="B12" s="41" t="s">
        <v>509</v>
      </c>
      <c r="C12" s="41" t="s">
        <v>7</v>
      </c>
      <c r="D12" s="41" t="s">
        <v>510</v>
      </c>
      <c r="E12" s="40" t="s">
        <v>511</v>
      </c>
      <c r="F12" s="41" t="s">
        <v>499</v>
      </c>
      <c r="G12" s="45" t="n">
        <v>45893</v>
      </c>
      <c r="H12" s="45" t="n">
        <v>45959</v>
      </c>
      <c r="I12" s="40" t="n">
        <v>32</v>
      </c>
      <c r="J12" s="56" t="s">
        <v>350</v>
      </c>
      <c r="K12" s="40"/>
      <c r="L12" s="40" t="s">
        <v>489</v>
      </c>
    </row>
    <row r="13" customFormat="false" ht="15.75" hidden="false" customHeight="true" outlineLevel="0" collapsed="false">
      <c r="A13" s="46" t="s">
        <v>95</v>
      </c>
      <c r="B13" s="47" t="s">
        <v>512</v>
      </c>
      <c r="C13" s="47" t="s">
        <v>7</v>
      </c>
      <c r="D13" s="47" t="s">
        <v>513</v>
      </c>
      <c r="E13" s="46" t="s">
        <v>511</v>
      </c>
      <c r="F13" s="47" t="s">
        <v>488</v>
      </c>
      <c r="G13" s="50" t="n">
        <v>45954</v>
      </c>
      <c r="H13" s="50" t="n">
        <v>46014</v>
      </c>
      <c r="I13" s="46" t="n">
        <v>28</v>
      </c>
      <c r="J13" s="57" t="s">
        <v>500</v>
      </c>
      <c r="K13" s="46"/>
      <c r="L13" s="46" t="s">
        <v>489</v>
      </c>
    </row>
    <row r="14" customFormat="false" ht="15.75" hidden="false" customHeight="true" outlineLevel="0" collapsed="false">
      <c r="A14" s="40" t="s">
        <v>98</v>
      </c>
      <c r="B14" s="41" t="s">
        <v>369</v>
      </c>
      <c r="C14" s="41" t="s">
        <v>15</v>
      </c>
      <c r="D14" s="41" t="s">
        <v>514</v>
      </c>
      <c r="E14" s="40" t="s">
        <v>484</v>
      </c>
      <c r="F14" s="41" t="s">
        <v>515</v>
      </c>
      <c r="G14" s="45" t="n">
        <v>45882</v>
      </c>
      <c r="H14" s="45" t="n">
        <v>45891</v>
      </c>
      <c r="I14" s="40" t="n">
        <v>8</v>
      </c>
      <c r="J14" s="57" t="s">
        <v>500</v>
      </c>
      <c r="K14" s="40"/>
      <c r="L14" s="40" t="s">
        <v>489</v>
      </c>
    </row>
    <row r="15" customFormat="false" ht="15.75" hidden="false" customHeight="true" outlineLevel="0" collapsed="false">
      <c r="A15" s="46" t="s">
        <v>101</v>
      </c>
      <c r="B15" s="47" t="s">
        <v>516</v>
      </c>
      <c r="C15" s="47" t="s">
        <v>11</v>
      </c>
      <c r="D15" s="47" t="s">
        <v>517</v>
      </c>
      <c r="E15" s="46" t="s">
        <v>511</v>
      </c>
      <c r="F15" s="47" t="s">
        <v>507</v>
      </c>
      <c r="G15" s="50" t="n">
        <v>45940</v>
      </c>
      <c r="H15" s="50" t="n">
        <v>45979</v>
      </c>
      <c r="I15" s="46" t="n">
        <v>23</v>
      </c>
      <c r="J15" s="61" t="s">
        <v>366</v>
      </c>
      <c r="K15" s="46"/>
      <c r="L15" s="46" t="s">
        <v>489</v>
      </c>
    </row>
    <row r="16" customFormat="false" ht="15.75" hidden="false" customHeight="true" outlineLevel="0" collapsed="false">
      <c r="A16" s="40" t="s">
        <v>104</v>
      </c>
      <c r="B16" s="41" t="s">
        <v>518</v>
      </c>
      <c r="C16" s="41" t="s">
        <v>17</v>
      </c>
      <c r="D16" s="41" t="s">
        <v>506</v>
      </c>
      <c r="E16" s="40" t="s">
        <v>503</v>
      </c>
      <c r="F16" s="41" t="s">
        <v>504</v>
      </c>
      <c r="G16" s="45" t="n">
        <v>45978</v>
      </c>
      <c r="H16" s="45" t="n">
        <v>45990</v>
      </c>
      <c r="I16" s="40" t="n">
        <v>39</v>
      </c>
      <c r="J16" s="58" t="s">
        <v>358</v>
      </c>
      <c r="K16" s="81" t="n">
        <v>76</v>
      </c>
      <c r="L16" s="40" t="s">
        <v>497</v>
      </c>
    </row>
    <row r="17" customFormat="false" ht="15.75" hidden="false" customHeight="true" outlineLevel="0" collapsed="false">
      <c r="A17" s="46" t="s">
        <v>108</v>
      </c>
      <c r="B17" s="47" t="s">
        <v>519</v>
      </c>
      <c r="C17" s="47" t="s">
        <v>9</v>
      </c>
      <c r="D17" s="47" t="s">
        <v>520</v>
      </c>
      <c r="E17" s="46" t="s">
        <v>503</v>
      </c>
      <c r="F17" s="47" t="s">
        <v>495</v>
      </c>
      <c r="G17" s="50" t="n">
        <v>45775</v>
      </c>
      <c r="H17" s="50" t="n">
        <v>45817</v>
      </c>
      <c r="I17" s="46" t="n">
        <v>2</v>
      </c>
      <c r="J17" s="56" t="s">
        <v>350</v>
      </c>
      <c r="K17" s="46"/>
      <c r="L17" s="46" t="s">
        <v>489</v>
      </c>
    </row>
    <row r="18" customFormat="false" ht="15.75" hidden="false" customHeight="true" outlineLevel="0" collapsed="false">
      <c r="A18" s="40" t="s">
        <v>112</v>
      </c>
      <c r="B18" s="41" t="s">
        <v>521</v>
      </c>
      <c r="C18" s="41" t="s">
        <v>18</v>
      </c>
      <c r="D18" s="41" t="s">
        <v>522</v>
      </c>
      <c r="E18" s="40" t="s">
        <v>503</v>
      </c>
      <c r="F18" s="41" t="s">
        <v>515</v>
      </c>
      <c r="G18" s="45" t="n">
        <v>45809</v>
      </c>
      <c r="H18" s="45" t="n">
        <v>45842</v>
      </c>
      <c r="I18" s="40" t="n">
        <v>31</v>
      </c>
      <c r="J18" s="57" t="s">
        <v>500</v>
      </c>
      <c r="K18" s="40"/>
      <c r="L18" s="40" t="s">
        <v>489</v>
      </c>
    </row>
    <row r="19" customFormat="false" ht="15.75" hidden="false" customHeight="true" outlineLevel="0" collapsed="false">
      <c r="A19" s="46" t="s">
        <v>115</v>
      </c>
      <c r="B19" s="47" t="s">
        <v>523</v>
      </c>
      <c r="C19" s="47" t="s">
        <v>7</v>
      </c>
      <c r="D19" s="47" t="s">
        <v>486</v>
      </c>
      <c r="E19" s="46" t="s">
        <v>503</v>
      </c>
      <c r="F19" s="47" t="s">
        <v>504</v>
      </c>
      <c r="G19" s="50" t="n">
        <v>45955</v>
      </c>
      <c r="H19" s="50" t="n">
        <v>46000</v>
      </c>
      <c r="I19" s="46" t="n">
        <v>25</v>
      </c>
      <c r="J19" s="56" t="s">
        <v>350</v>
      </c>
      <c r="K19" s="46"/>
      <c r="L19" s="46" t="s">
        <v>489</v>
      </c>
    </row>
    <row r="20" customFormat="false" ht="15.75" hidden="false" customHeight="true" outlineLevel="0" collapsed="false">
      <c r="A20" s="40" t="s">
        <v>118</v>
      </c>
      <c r="B20" s="41" t="s">
        <v>524</v>
      </c>
      <c r="C20" s="41" t="s">
        <v>9</v>
      </c>
      <c r="D20" s="41" t="s">
        <v>517</v>
      </c>
      <c r="E20" s="40" t="s">
        <v>484</v>
      </c>
      <c r="F20" s="41" t="s">
        <v>488</v>
      </c>
      <c r="G20" s="45" t="n">
        <v>45778</v>
      </c>
      <c r="H20" s="45" t="n">
        <v>45787</v>
      </c>
      <c r="I20" s="40" t="n">
        <v>23</v>
      </c>
      <c r="J20" s="58" t="s">
        <v>358</v>
      </c>
      <c r="K20" s="81" t="n">
        <v>93</v>
      </c>
      <c r="L20" s="40" t="s">
        <v>497</v>
      </c>
    </row>
    <row r="21" customFormat="false" ht="15.75" hidden="false" customHeight="true" outlineLevel="0" collapsed="false">
      <c r="A21" s="46" t="s">
        <v>120</v>
      </c>
      <c r="B21" s="47" t="s">
        <v>525</v>
      </c>
      <c r="C21" s="47" t="s">
        <v>17</v>
      </c>
      <c r="D21" s="47" t="s">
        <v>506</v>
      </c>
      <c r="E21" s="46" t="s">
        <v>511</v>
      </c>
      <c r="F21" s="47" t="s">
        <v>504</v>
      </c>
      <c r="G21" s="50" t="n">
        <v>45812</v>
      </c>
      <c r="H21" s="50" t="n">
        <v>45881</v>
      </c>
      <c r="I21" s="46" t="n">
        <v>14</v>
      </c>
      <c r="J21" s="57" t="s">
        <v>500</v>
      </c>
      <c r="K21" s="46"/>
      <c r="L21" s="46" t="s">
        <v>489</v>
      </c>
    </row>
    <row r="22" customFormat="false" ht="15.75" hidden="false" customHeight="true" outlineLevel="0" collapsed="false">
      <c r="A22" s="40" t="s">
        <v>124</v>
      </c>
      <c r="B22" s="41" t="s">
        <v>526</v>
      </c>
      <c r="C22" s="41" t="s">
        <v>9</v>
      </c>
      <c r="D22" s="41" t="s">
        <v>491</v>
      </c>
      <c r="E22" s="40" t="s">
        <v>487</v>
      </c>
      <c r="F22" s="41" t="s">
        <v>515</v>
      </c>
      <c r="G22" s="45" t="n">
        <v>45725</v>
      </c>
      <c r="H22" s="45" t="n">
        <v>45749</v>
      </c>
      <c r="I22" s="40" t="n">
        <v>10</v>
      </c>
      <c r="J22" s="56" t="s">
        <v>350</v>
      </c>
      <c r="K22" s="40"/>
      <c r="L22" s="40" t="s">
        <v>489</v>
      </c>
    </row>
    <row r="23" customFormat="false" ht="15.75" hidden="false" customHeight="true" outlineLevel="0" collapsed="false">
      <c r="A23" s="46" t="s">
        <v>128</v>
      </c>
      <c r="B23" s="47" t="s">
        <v>527</v>
      </c>
      <c r="C23" s="47" t="s">
        <v>19</v>
      </c>
      <c r="D23" s="47" t="s">
        <v>522</v>
      </c>
      <c r="E23" s="46" t="s">
        <v>503</v>
      </c>
      <c r="F23" s="47" t="s">
        <v>515</v>
      </c>
      <c r="G23" s="50" t="n">
        <v>45880</v>
      </c>
      <c r="H23" s="50" t="n">
        <v>45931</v>
      </c>
      <c r="I23" s="46" t="n">
        <v>23</v>
      </c>
      <c r="J23" s="58" t="s">
        <v>358</v>
      </c>
      <c r="K23" s="80" t="n">
        <v>63</v>
      </c>
      <c r="L23" s="46" t="s">
        <v>489</v>
      </c>
    </row>
    <row r="24" customFormat="false" ht="15.75" hidden="false" customHeight="true" outlineLevel="0" collapsed="false">
      <c r="A24" s="40" t="s">
        <v>130</v>
      </c>
      <c r="B24" s="41" t="s">
        <v>528</v>
      </c>
      <c r="C24" s="41" t="s">
        <v>11</v>
      </c>
      <c r="D24" s="41" t="s">
        <v>506</v>
      </c>
      <c r="E24" s="40" t="s">
        <v>487</v>
      </c>
      <c r="F24" s="41" t="s">
        <v>507</v>
      </c>
      <c r="G24" s="45" t="n">
        <v>45785</v>
      </c>
      <c r="H24" s="45" t="n">
        <v>45848</v>
      </c>
      <c r="I24" s="40" t="n">
        <v>38</v>
      </c>
      <c r="J24" s="58" t="s">
        <v>358</v>
      </c>
      <c r="K24" s="81" t="n">
        <v>93</v>
      </c>
      <c r="L24" s="40" t="s">
        <v>497</v>
      </c>
    </row>
    <row r="25" customFormat="false" ht="15.75" hidden="false" customHeight="true" outlineLevel="0" collapsed="false">
      <c r="A25" s="46" t="s">
        <v>132</v>
      </c>
      <c r="B25" s="47" t="s">
        <v>529</v>
      </c>
      <c r="C25" s="47" t="s">
        <v>15</v>
      </c>
      <c r="D25" s="47" t="s">
        <v>530</v>
      </c>
      <c r="E25" s="46" t="s">
        <v>511</v>
      </c>
      <c r="F25" s="47" t="s">
        <v>495</v>
      </c>
      <c r="G25" s="50" t="n">
        <v>45772</v>
      </c>
      <c r="H25" s="50" t="n">
        <v>45784</v>
      </c>
      <c r="I25" s="46" t="n">
        <v>24</v>
      </c>
      <c r="J25" s="61" t="s">
        <v>366</v>
      </c>
      <c r="K25" s="46"/>
      <c r="L25" s="46" t="s">
        <v>489</v>
      </c>
    </row>
    <row r="26" customFormat="false" ht="15.75" hidden="false" customHeight="true" outlineLevel="0" collapsed="false">
      <c r="A26" s="40" t="s">
        <v>135</v>
      </c>
      <c r="B26" s="41" t="s">
        <v>531</v>
      </c>
      <c r="C26" s="41" t="s">
        <v>9</v>
      </c>
      <c r="D26" s="41" t="s">
        <v>496</v>
      </c>
      <c r="E26" s="40" t="s">
        <v>511</v>
      </c>
      <c r="F26" s="41" t="s">
        <v>495</v>
      </c>
      <c r="G26" s="45" t="n">
        <v>45974</v>
      </c>
      <c r="H26" s="45" t="n">
        <v>46043</v>
      </c>
      <c r="I26" s="40" t="n">
        <v>17</v>
      </c>
      <c r="J26" s="56" t="s">
        <v>350</v>
      </c>
      <c r="K26" s="40"/>
      <c r="L26" s="40" t="s">
        <v>489</v>
      </c>
    </row>
    <row r="27" customFormat="false" ht="15.75" hidden="false" customHeight="true" outlineLevel="0" collapsed="false">
      <c r="A27" s="46" t="s">
        <v>137</v>
      </c>
      <c r="B27" s="47" t="s">
        <v>532</v>
      </c>
      <c r="C27" s="47" t="s">
        <v>11</v>
      </c>
      <c r="D27" s="47" t="s">
        <v>533</v>
      </c>
      <c r="E27" s="46" t="s">
        <v>494</v>
      </c>
      <c r="F27" s="47" t="s">
        <v>507</v>
      </c>
      <c r="G27" s="50" t="n">
        <v>45858</v>
      </c>
      <c r="H27" s="50" t="n">
        <v>45876</v>
      </c>
      <c r="I27" s="46" t="n">
        <v>20</v>
      </c>
      <c r="J27" s="57" t="s">
        <v>500</v>
      </c>
      <c r="K27" s="46"/>
      <c r="L27" s="46" t="s">
        <v>489</v>
      </c>
    </row>
    <row r="28" customFormat="false" ht="15.75" hidden="false" customHeight="true" outlineLevel="0" collapsed="false">
      <c r="A28" s="40" t="s">
        <v>140</v>
      </c>
      <c r="B28" s="41" t="s">
        <v>534</v>
      </c>
      <c r="C28" s="41" t="s">
        <v>15</v>
      </c>
      <c r="D28" s="41" t="s">
        <v>520</v>
      </c>
      <c r="E28" s="40" t="s">
        <v>511</v>
      </c>
      <c r="F28" s="41" t="s">
        <v>507</v>
      </c>
      <c r="G28" s="45" t="n">
        <v>45798</v>
      </c>
      <c r="H28" s="45" t="n">
        <v>45885</v>
      </c>
      <c r="I28" s="40" t="n">
        <v>30</v>
      </c>
      <c r="J28" s="56" t="s">
        <v>350</v>
      </c>
      <c r="K28" s="40"/>
      <c r="L28" s="40" t="s">
        <v>489</v>
      </c>
    </row>
    <row r="29" customFormat="false" ht="15.75" hidden="false" customHeight="true" outlineLevel="0" collapsed="false">
      <c r="A29" s="46" t="s">
        <v>142</v>
      </c>
      <c r="B29" s="47" t="s">
        <v>535</v>
      </c>
      <c r="C29" s="47" t="s">
        <v>18</v>
      </c>
      <c r="D29" s="47" t="s">
        <v>517</v>
      </c>
      <c r="E29" s="46" t="s">
        <v>503</v>
      </c>
      <c r="F29" s="47" t="s">
        <v>495</v>
      </c>
      <c r="G29" s="50" t="n">
        <v>45875</v>
      </c>
      <c r="H29" s="50" t="n">
        <v>45932</v>
      </c>
      <c r="I29" s="46" t="n">
        <v>12</v>
      </c>
      <c r="J29" s="56" t="s">
        <v>350</v>
      </c>
      <c r="K29" s="46"/>
      <c r="L29" s="46" t="s">
        <v>489</v>
      </c>
    </row>
    <row r="30" customFormat="false" ht="15.75" hidden="false" customHeight="true" outlineLevel="0" collapsed="false">
      <c r="A30" s="40" t="s">
        <v>144</v>
      </c>
      <c r="B30" s="41" t="s">
        <v>258</v>
      </c>
      <c r="C30" s="41" t="s">
        <v>11</v>
      </c>
      <c r="D30" s="41" t="s">
        <v>496</v>
      </c>
      <c r="E30" s="40" t="s">
        <v>494</v>
      </c>
      <c r="F30" s="41" t="s">
        <v>495</v>
      </c>
      <c r="G30" s="45" t="n">
        <v>45875</v>
      </c>
      <c r="H30" s="45" t="n">
        <v>45962</v>
      </c>
      <c r="I30" s="40" t="n">
        <v>10</v>
      </c>
      <c r="J30" s="56" t="s">
        <v>350</v>
      </c>
      <c r="K30" s="40"/>
      <c r="L30" s="40" t="s">
        <v>489</v>
      </c>
    </row>
    <row r="31" customFormat="false" ht="15.75" hidden="false" customHeight="true" outlineLevel="0" collapsed="false">
      <c r="A31" s="46" t="s">
        <v>147</v>
      </c>
      <c r="B31" s="47" t="s">
        <v>536</v>
      </c>
      <c r="C31" s="47" t="s">
        <v>18</v>
      </c>
      <c r="D31" s="47" t="s">
        <v>493</v>
      </c>
      <c r="E31" s="46" t="s">
        <v>511</v>
      </c>
      <c r="F31" s="47" t="s">
        <v>507</v>
      </c>
      <c r="G31" s="50" t="n">
        <v>45903</v>
      </c>
      <c r="H31" s="50" t="n">
        <v>45984</v>
      </c>
      <c r="I31" s="46" t="n">
        <v>2</v>
      </c>
      <c r="J31" s="58" t="s">
        <v>358</v>
      </c>
      <c r="K31" s="80" t="n">
        <v>98</v>
      </c>
      <c r="L31" s="46" t="s">
        <v>497</v>
      </c>
    </row>
    <row r="32" customFormat="false" ht="15.75" hidden="false" customHeight="true" outlineLevel="0" collapsed="false">
      <c r="A32" s="40" t="s">
        <v>149</v>
      </c>
      <c r="B32" s="41" t="s">
        <v>421</v>
      </c>
      <c r="C32" s="41" t="s">
        <v>9</v>
      </c>
      <c r="D32" s="41" t="s">
        <v>493</v>
      </c>
      <c r="E32" s="40" t="s">
        <v>487</v>
      </c>
      <c r="F32" s="41" t="s">
        <v>507</v>
      </c>
      <c r="G32" s="45" t="n">
        <v>45764</v>
      </c>
      <c r="H32" s="45" t="n">
        <v>45827</v>
      </c>
      <c r="I32" s="40" t="n">
        <v>20</v>
      </c>
      <c r="J32" s="56" t="s">
        <v>350</v>
      </c>
      <c r="K32" s="40"/>
      <c r="L32" s="40" t="s">
        <v>489</v>
      </c>
    </row>
    <row r="33" customFormat="false" ht="15.75" hidden="false" customHeight="true" outlineLevel="0" collapsed="false">
      <c r="A33" s="46" t="s">
        <v>152</v>
      </c>
      <c r="B33" s="47" t="s">
        <v>537</v>
      </c>
      <c r="C33" s="47" t="s">
        <v>19</v>
      </c>
      <c r="D33" s="47" t="s">
        <v>530</v>
      </c>
      <c r="E33" s="46" t="s">
        <v>511</v>
      </c>
      <c r="F33" s="47" t="s">
        <v>504</v>
      </c>
      <c r="G33" s="50" t="n">
        <v>45847</v>
      </c>
      <c r="H33" s="50" t="n">
        <v>45853</v>
      </c>
      <c r="I33" s="46" t="n">
        <v>2</v>
      </c>
      <c r="J33" s="61" t="s">
        <v>366</v>
      </c>
      <c r="K33" s="46"/>
      <c r="L33" s="46" t="s">
        <v>489</v>
      </c>
    </row>
    <row r="34" customFormat="false" ht="15.75" hidden="false" customHeight="true" outlineLevel="0" collapsed="false">
      <c r="A34" s="40" t="s">
        <v>155</v>
      </c>
      <c r="B34" s="41" t="s">
        <v>538</v>
      </c>
      <c r="C34" s="41" t="s">
        <v>15</v>
      </c>
      <c r="D34" s="41" t="s">
        <v>513</v>
      </c>
      <c r="E34" s="40" t="s">
        <v>487</v>
      </c>
      <c r="F34" s="41" t="s">
        <v>507</v>
      </c>
      <c r="G34" s="45" t="n">
        <v>45757</v>
      </c>
      <c r="H34" s="45" t="n">
        <v>45847</v>
      </c>
      <c r="I34" s="40" t="n">
        <v>34</v>
      </c>
      <c r="J34" s="58" t="s">
        <v>358</v>
      </c>
      <c r="K34" s="81" t="n">
        <v>77</v>
      </c>
      <c r="L34" s="40" t="s">
        <v>497</v>
      </c>
    </row>
    <row r="35" customFormat="false" ht="15.75" hidden="false" customHeight="true" outlineLevel="0" collapsed="false">
      <c r="A35" s="46" t="s">
        <v>158</v>
      </c>
      <c r="B35" s="47" t="s">
        <v>539</v>
      </c>
      <c r="C35" s="47" t="s">
        <v>17</v>
      </c>
      <c r="D35" s="47" t="s">
        <v>514</v>
      </c>
      <c r="E35" s="46" t="s">
        <v>494</v>
      </c>
      <c r="F35" s="47" t="s">
        <v>488</v>
      </c>
      <c r="G35" s="50" t="n">
        <v>45695</v>
      </c>
      <c r="H35" s="50" t="n">
        <v>45704</v>
      </c>
      <c r="I35" s="46" t="n">
        <v>19</v>
      </c>
      <c r="J35" s="57" t="s">
        <v>500</v>
      </c>
      <c r="K35" s="46"/>
      <c r="L35" s="46" t="s">
        <v>489</v>
      </c>
    </row>
    <row r="36" customFormat="false" ht="15.75" hidden="false" customHeight="true" outlineLevel="0" collapsed="false">
      <c r="A36" s="40" t="s">
        <v>160</v>
      </c>
      <c r="B36" s="41" t="s">
        <v>540</v>
      </c>
      <c r="C36" s="41" t="s">
        <v>17</v>
      </c>
      <c r="D36" s="41" t="s">
        <v>496</v>
      </c>
      <c r="E36" s="40" t="s">
        <v>487</v>
      </c>
      <c r="F36" s="41" t="s">
        <v>515</v>
      </c>
      <c r="G36" s="45" t="n">
        <v>45809</v>
      </c>
      <c r="H36" s="45" t="n">
        <v>45869</v>
      </c>
      <c r="I36" s="40" t="n">
        <v>3</v>
      </c>
      <c r="J36" s="58" t="s">
        <v>358</v>
      </c>
      <c r="K36" s="81" t="n">
        <v>73</v>
      </c>
      <c r="L36" s="40" t="s">
        <v>497</v>
      </c>
    </row>
    <row r="37" customFormat="false" ht="15.75" hidden="false" customHeight="true" outlineLevel="0" collapsed="false">
      <c r="A37" s="46" t="s">
        <v>162</v>
      </c>
      <c r="B37" s="47" t="s">
        <v>541</v>
      </c>
      <c r="C37" s="47" t="s">
        <v>15</v>
      </c>
      <c r="D37" s="47" t="s">
        <v>517</v>
      </c>
      <c r="E37" s="46" t="s">
        <v>487</v>
      </c>
      <c r="F37" s="47" t="s">
        <v>499</v>
      </c>
      <c r="G37" s="50" t="n">
        <v>45911</v>
      </c>
      <c r="H37" s="50" t="n">
        <v>45977</v>
      </c>
      <c r="I37" s="46" t="n">
        <v>24</v>
      </c>
      <c r="J37" s="58" t="s">
        <v>358</v>
      </c>
      <c r="K37" s="80" t="n">
        <v>89</v>
      </c>
      <c r="L37" s="46" t="s">
        <v>497</v>
      </c>
    </row>
    <row r="38" customFormat="false" ht="15.75" hidden="false" customHeight="true" outlineLevel="0" collapsed="false">
      <c r="A38" s="40" t="s">
        <v>165</v>
      </c>
      <c r="B38" s="41" t="s">
        <v>542</v>
      </c>
      <c r="C38" s="41" t="s">
        <v>15</v>
      </c>
      <c r="D38" s="41" t="s">
        <v>543</v>
      </c>
      <c r="E38" s="40" t="s">
        <v>503</v>
      </c>
      <c r="F38" s="41" t="s">
        <v>504</v>
      </c>
      <c r="G38" s="45" t="n">
        <v>45677</v>
      </c>
      <c r="H38" s="45" t="n">
        <v>45683</v>
      </c>
      <c r="I38" s="40" t="n">
        <v>30</v>
      </c>
      <c r="J38" s="57" t="s">
        <v>500</v>
      </c>
      <c r="K38" s="40"/>
      <c r="L38" s="40" t="s">
        <v>489</v>
      </c>
    </row>
  </sheetData>
  <mergeCells count="1">
    <mergeCell ref="A1:L1"/>
  </mergeCells>
  <conditionalFormatting sqref="K4:K38">
    <cfRule type="colorScale" priority="2">
      <colorScale>
        <cfvo type="num" val="60"/>
        <cfvo type="num" val="75"/>
        <cfvo type="num" val="100"/>
        <color rgb="FFFF6347"/>
        <color rgb="FFFFD700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2026-06-16T03:28:53Z</dcterms:created>
  <dc:creator>openpyxl</dc:creator>
  <dc:description/>
  <dc:language>en-US</dc:language>
  <cp:lastModifiedBy/>
  <dcterms:modified xsi:type="dcterms:W3CDTF">2026-06-16T03:28:59Z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